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Punk_Hockey\datapunkhockey\Introduction_to_Hockey_Analytics\Level_1_Example\2_Clean_Data\"/>
    </mc:Choice>
  </mc:AlternateContent>
  <xr:revisionPtr revIDLastSave="0" documentId="13_ncr:9_{53986323-B7B5-4076-AC68-0014C45D4081}" xr6:coauthVersionLast="47" xr6:coauthVersionMax="47" xr10:uidLastSave="{00000000-0000-0000-0000-000000000000}"/>
  <bookViews>
    <workbookView xWindow="-110" yWindow="-110" windowWidth="25820" windowHeight="15500" activeTab="1" xr2:uid="{5084842F-4CC8-465E-BAE1-2FD31A15F23F}"/>
  </bookViews>
  <sheets>
    <sheet name="Sheet1" sheetId="2" r:id="rId1"/>
    <sheet name="Sheet2" sheetId="3" r:id="rId2"/>
    <sheet name="2024_2025_NHL_Data" sheetId="1" r:id="rId3"/>
  </sheets>
  <calcPr calcId="0"/>
  <pivotCaches>
    <pivotCache cacheId="23" r:id="rId4"/>
  </pivotCaches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</calcChain>
</file>

<file path=xl/sharedStrings.xml><?xml version="1.0" encoding="utf-8"?>
<sst xmlns="http://schemas.openxmlformats.org/spreadsheetml/2006/main" count="137" uniqueCount="71">
  <si>
    <t>RANK</t>
  </si>
  <si>
    <t>TEAM</t>
  </si>
  <si>
    <t>AVG_AGE</t>
  </si>
  <si>
    <t>GP</t>
  </si>
  <si>
    <t>W</t>
  </si>
  <si>
    <t>L</t>
  </si>
  <si>
    <t>OL</t>
  </si>
  <si>
    <t>PTS</t>
  </si>
  <si>
    <t>PTS_PCT</t>
  </si>
  <si>
    <t>GF</t>
  </si>
  <si>
    <t>GA</t>
  </si>
  <si>
    <t>SOW</t>
  </si>
  <si>
    <t>SOL</t>
  </si>
  <si>
    <t>SRS</t>
  </si>
  <si>
    <t>SOS</t>
  </si>
  <si>
    <t>GFPG</t>
  </si>
  <si>
    <t>GAPG</t>
  </si>
  <si>
    <t>PP</t>
  </si>
  <si>
    <t>PPO</t>
  </si>
  <si>
    <t>PP_PCT</t>
  </si>
  <si>
    <t>PPA</t>
  </si>
  <si>
    <t>PPOA</t>
  </si>
  <si>
    <t>PK_PCT</t>
  </si>
  <si>
    <t>SH</t>
  </si>
  <si>
    <t>SHA</t>
  </si>
  <si>
    <t>PIMPG</t>
  </si>
  <si>
    <t>OPIMPG</t>
  </si>
  <si>
    <t>S</t>
  </si>
  <si>
    <t>SHOT_PCT</t>
  </si>
  <si>
    <t>SA</t>
  </si>
  <si>
    <t>SAVE_PCT</t>
  </si>
  <si>
    <t>SO</t>
  </si>
  <si>
    <t>Winnipeg Jets</t>
  </si>
  <si>
    <t>Washington Capitals</t>
  </si>
  <si>
    <t>Vegas Golden Knights</t>
  </si>
  <si>
    <t>Toronto Maple Leafs</t>
  </si>
  <si>
    <t>Dallas Stars</t>
  </si>
  <si>
    <t>Los Angeles Kings</t>
  </si>
  <si>
    <t>Tampa Bay Lightning</t>
  </si>
  <si>
    <t>Colorado Avalanche</t>
  </si>
  <si>
    <t>Edmonton Oilers</t>
  </si>
  <si>
    <t>Carolina Hurricanes</t>
  </si>
  <si>
    <t>Florida Panthers</t>
  </si>
  <si>
    <t>Minnesota Wild</t>
  </si>
  <si>
    <t>Ottawa Senators</t>
  </si>
  <si>
    <t>Calgary Flames</t>
  </si>
  <si>
    <t>St. Louis Blues</t>
  </si>
  <si>
    <t>Montreal Canadiens</t>
  </si>
  <si>
    <t>New Jersey Devils</t>
  </si>
  <si>
    <t>Vancouver Canucks</t>
  </si>
  <si>
    <t>Columbus Blue Jackets</t>
  </si>
  <si>
    <t>Utah Hockey Club</t>
  </si>
  <si>
    <t>Detroit Red Wings</t>
  </si>
  <si>
    <t>New York Rangers</t>
  </si>
  <si>
    <t>New York Islanders</t>
  </si>
  <si>
    <t>Pittsburgh Penguins</t>
  </si>
  <si>
    <t>Anaheim Ducks</t>
  </si>
  <si>
    <t>Buffalo Sabres</t>
  </si>
  <si>
    <t>Boston Bruins</t>
  </si>
  <si>
    <t>Seattle Kraken</t>
  </si>
  <si>
    <t>Philadelphia Flyers</t>
  </si>
  <si>
    <t>Nashville Predators</t>
  </si>
  <si>
    <t>Chicago Blackhawks</t>
  </si>
  <si>
    <t>San Jose Sharks</t>
  </si>
  <si>
    <t>GOAL_DIFF</t>
  </si>
  <si>
    <t>Row Labels</t>
  </si>
  <si>
    <t>Grand Total</t>
  </si>
  <si>
    <t>Average of GOAL_DIFF</t>
  </si>
  <si>
    <t>Average of W</t>
  </si>
  <si>
    <t>GOAL DIFF</t>
  </si>
  <si>
    <t>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</si>
</sst>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WINS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309322151675065E-2"/>
                  <c:y val="-6.74506306180753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Sheet2!$B$2:$B$33</c:f>
              <c:numCache>
                <c:formatCode>General</c:formatCode>
                <c:ptCount val="32"/>
                <c:pt idx="0">
                  <c:v>-44</c:v>
                </c:pt>
                <c:pt idx="1">
                  <c:v>-49</c:v>
                </c:pt>
                <c:pt idx="2">
                  <c:v>-22</c:v>
                </c:pt>
                <c:pt idx="3">
                  <c:v>-16</c:v>
                </c:pt>
                <c:pt idx="4">
                  <c:v>36</c:v>
                </c:pt>
                <c:pt idx="5">
                  <c:v>-68</c:v>
                </c:pt>
                <c:pt idx="6">
                  <c:v>42</c:v>
                </c:pt>
                <c:pt idx="7">
                  <c:v>0</c:v>
                </c:pt>
                <c:pt idx="8">
                  <c:v>53</c:v>
                </c:pt>
                <c:pt idx="9">
                  <c:v>-24</c:v>
                </c:pt>
                <c:pt idx="10">
                  <c:v>24</c:v>
                </c:pt>
                <c:pt idx="11">
                  <c:v>23</c:v>
                </c:pt>
                <c:pt idx="12">
                  <c:v>46</c:v>
                </c:pt>
                <c:pt idx="13">
                  <c:v>-11</c:v>
                </c:pt>
                <c:pt idx="14">
                  <c:v>-18</c:v>
                </c:pt>
                <c:pt idx="15">
                  <c:v>-62</c:v>
                </c:pt>
                <c:pt idx="16">
                  <c:v>20</c:v>
                </c:pt>
                <c:pt idx="17">
                  <c:v>-35</c:v>
                </c:pt>
                <c:pt idx="18">
                  <c:v>0</c:v>
                </c:pt>
                <c:pt idx="19">
                  <c:v>10</c:v>
                </c:pt>
                <c:pt idx="20">
                  <c:v>-51</c:v>
                </c:pt>
                <c:pt idx="21">
                  <c:v>-45</c:v>
                </c:pt>
                <c:pt idx="22">
                  <c:v>-102</c:v>
                </c:pt>
                <c:pt idx="23">
                  <c:v>-17</c:v>
                </c:pt>
                <c:pt idx="24">
                  <c:v>19</c:v>
                </c:pt>
                <c:pt idx="25">
                  <c:v>76</c:v>
                </c:pt>
                <c:pt idx="26">
                  <c:v>38</c:v>
                </c:pt>
                <c:pt idx="27">
                  <c:v>-7</c:v>
                </c:pt>
                <c:pt idx="28">
                  <c:v>-18</c:v>
                </c:pt>
                <c:pt idx="29">
                  <c:v>60</c:v>
                </c:pt>
                <c:pt idx="30">
                  <c:v>57</c:v>
                </c:pt>
                <c:pt idx="31">
                  <c:v>85</c:v>
                </c:pt>
              </c:numCache>
            </c:numRef>
          </c:xVal>
          <c:yVal>
            <c:numRef>
              <c:f>Sheet2!$C$2:$C$33</c:f>
              <c:numCache>
                <c:formatCode>General</c:formatCode>
                <c:ptCount val="32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41</c:v>
                </c:pt>
                <c:pt idx="4">
                  <c:v>47</c:v>
                </c:pt>
                <c:pt idx="5">
                  <c:v>25</c:v>
                </c:pt>
                <c:pt idx="6">
                  <c:v>49</c:v>
                </c:pt>
                <c:pt idx="7">
                  <c:v>40</c:v>
                </c:pt>
                <c:pt idx="8">
                  <c:v>50</c:v>
                </c:pt>
                <c:pt idx="9">
                  <c:v>39</c:v>
                </c:pt>
                <c:pt idx="10">
                  <c:v>48</c:v>
                </c:pt>
                <c:pt idx="11">
                  <c:v>47</c:v>
                </c:pt>
                <c:pt idx="12">
                  <c:v>48</c:v>
                </c:pt>
                <c:pt idx="13">
                  <c:v>45</c:v>
                </c:pt>
                <c:pt idx="14">
                  <c:v>40</c:v>
                </c:pt>
                <c:pt idx="15">
                  <c:v>30</c:v>
                </c:pt>
                <c:pt idx="16">
                  <c:v>42</c:v>
                </c:pt>
                <c:pt idx="17">
                  <c:v>35</c:v>
                </c:pt>
                <c:pt idx="18">
                  <c:v>39</c:v>
                </c:pt>
                <c:pt idx="19">
                  <c:v>45</c:v>
                </c:pt>
                <c:pt idx="20">
                  <c:v>33</c:v>
                </c:pt>
                <c:pt idx="21">
                  <c:v>34</c:v>
                </c:pt>
                <c:pt idx="22">
                  <c:v>20</c:v>
                </c:pt>
                <c:pt idx="23">
                  <c:v>35</c:v>
                </c:pt>
                <c:pt idx="24">
                  <c:v>44</c:v>
                </c:pt>
                <c:pt idx="25">
                  <c:v>47</c:v>
                </c:pt>
                <c:pt idx="26">
                  <c:v>52</c:v>
                </c:pt>
                <c:pt idx="27">
                  <c:v>38</c:v>
                </c:pt>
                <c:pt idx="28">
                  <c:v>38</c:v>
                </c:pt>
                <c:pt idx="29">
                  <c:v>50</c:v>
                </c:pt>
                <c:pt idx="30">
                  <c:v>51</c:v>
                </c:pt>
                <c:pt idx="31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7A-4122-9591-ACA42790C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621056"/>
        <c:axId val="1579621536"/>
      </c:scatterChart>
      <c:valAx>
        <c:axId val="157962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621536"/>
        <c:crosses val="autoZero"/>
        <c:crossBetween val="midCat"/>
      </c:valAx>
      <c:valAx>
        <c:axId val="157962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62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422274</xdr:colOff>
      <xdr:row>1</xdr:row>
      <xdr:rowOff>120650</xdr:rowOff>
    </xdr:from>
    <xdr:to>
      <xdr:col>14</xdr:col>
      <xdr:colOff>12699</xdr:colOff>
      <xdr:row>21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598703-B0C9-E9F4-D3FE-7F90D2992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5952.520465393522" createdVersion="8" refreshedVersion="8" minRefreshableVersion="3" recordCount="32" xr:uid="{92FFDC4D-8B99-4A69-BC6E-BF3A12A523B8}">
  <cacheSource type="worksheet">
    <worksheetSource name="Table1"/>
  </cacheSource>
  <cacheFields count="33">
    <cacheField name="RANK" numFmtId="0">
      <sharedItems containsSemiMixedTypes="0" containsString="0" containsNumber="1" containsInteger="1" minValue="1" maxValue="32"/>
    </cacheField>
    <cacheField name="TEAM" numFmtId="0">
      <sharedItems count="32">
        <s v="Winnipeg Jets"/>
        <s v="Washington Capitals"/>
        <s v="Vegas Golden Knights"/>
        <s v="Toronto Maple Leafs"/>
        <s v="Dallas Stars"/>
        <s v="Los Angeles Kings"/>
        <s v="Tampa Bay Lightning"/>
        <s v="Colorado Avalanche"/>
        <s v="Edmonton Oilers"/>
        <s v="Carolina Hurricanes"/>
        <s v="Florida Panthers"/>
        <s v="Minnesota Wild"/>
        <s v="Ottawa Senators"/>
        <s v="Calgary Flames"/>
        <s v="St. Louis Blues"/>
        <s v="Montreal Canadiens"/>
        <s v="New Jersey Devils"/>
        <s v="Vancouver Canucks"/>
        <s v="Columbus Blue Jackets"/>
        <s v="Utah Hockey Club"/>
        <s v="Detroit Red Wings"/>
        <s v="New York Rangers"/>
        <s v="New York Islanders"/>
        <s v="Pittsburgh Penguins"/>
        <s v="Anaheim Ducks"/>
        <s v="Buffalo Sabres"/>
        <s v="Boston Bruins"/>
        <s v="Seattle Kraken"/>
        <s v="Philadelphia Flyers"/>
        <s v="Nashville Predators"/>
        <s v="Chicago Blackhawks"/>
        <s v="San Jose Sharks"/>
      </sharedItems>
    </cacheField>
    <cacheField name="AVG_AGE" numFmtId="0">
      <sharedItems containsSemiMixedTypes="0" containsString="0" containsNumber="1" minValue="26.1" maxValue="30.9"/>
    </cacheField>
    <cacheField name="GP" numFmtId="0">
      <sharedItems containsSemiMixedTypes="0" containsString="0" containsNumber="1" containsInteger="1" minValue="82" maxValue="82"/>
    </cacheField>
    <cacheField name="W" numFmtId="0">
      <sharedItems containsSemiMixedTypes="0" containsString="0" containsNumber="1" containsInteger="1" minValue="20" maxValue="56"/>
    </cacheField>
    <cacheField name="L" numFmtId="0">
      <sharedItems containsSemiMixedTypes="0" containsString="0" containsNumber="1" containsInteger="1" minValue="22" maxValue="50"/>
    </cacheField>
    <cacheField name="OL" numFmtId="0">
      <sharedItems containsSemiMixedTypes="0" containsString="0" containsNumber="1" containsInteger="1" minValue="4" maxValue="14"/>
    </cacheField>
    <cacheField name="PTS" numFmtId="0">
      <sharedItems containsSemiMixedTypes="0" containsString="0" containsNumber="1" containsInteger="1" minValue="52" maxValue="116"/>
    </cacheField>
    <cacheField name="PTS_PCT" numFmtId="0">
      <sharedItems containsSemiMixedTypes="0" containsString="0" containsNumber="1" minValue="0.317" maxValue="0.70699999999999996"/>
    </cacheField>
    <cacheField name="GF" numFmtId="0">
      <sharedItems containsSemiMixedTypes="0" containsString="0" containsNumber="1" containsInteger="1" minValue="208" maxValue="292"/>
    </cacheField>
    <cacheField name="GA" numFmtId="0">
      <sharedItems containsSemiMixedTypes="0" containsString="0" containsNumber="1" containsInteger="1" minValue="190" maxValue="310"/>
    </cacheField>
    <cacheField name="GOAL_DIFF" numFmtId="0">
      <sharedItems containsSemiMixedTypes="0" containsString="0" containsNumber="1" containsInteger="1" minValue="-102" maxValue="85"/>
    </cacheField>
    <cacheField name="SOW" numFmtId="0">
      <sharedItems containsSemiMixedTypes="0" containsString="0" containsNumber="1" containsInteger="1" minValue="0" maxValue="6"/>
    </cacheField>
    <cacheField name="SOL" numFmtId="0">
      <sharedItems containsSemiMixedTypes="0" containsString="0" containsNumber="1" containsInteger="1" minValue="0" maxValue="6"/>
    </cacheField>
    <cacheField name="SRS" numFmtId="0">
      <sharedItems containsSemiMixedTypes="0" containsString="0" containsNumber="1" minValue="-1.24" maxValue="1.02"/>
    </cacheField>
    <cacheField name="SOS" numFmtId="0">
      <sharedItems containsSemiMixedTypes="0" containsString="0" containsNumber="1" minValue="-0.04" maxValue="0.04"/>
    </cacheField>
    <cacheField name="GFPG" numFmtId="0">
      <sharedItems containsSemiMixedTypes="0" containsString="0" containsNumber="1" minValue="2.54" maxValue="3.56"/>
    </cacheField>
    <cacheField name="GAPG" numFmtId="0">
      <sharedItems containsSemiMixedTypes="0" containsString="0" containsNumber="1" minValue="2.3199999999999998" maxValue="3.78"/>
    </cacheField>
    <cacheField name="PP" numFmtId="0">
      <sharedItems containsSemiMixedTypes="0" containsString="0" containsNumber="1" containsInteger="1" minValue="26" maxValue="64"/>
    </cacheField>
    <cacheField name="PPO" numFmtId="0">
      <sharedItems containsSemiMixedTypes="0" containsString="0" containsNumber="1" containsInteger="1" minValue="185" maxValue="269"/>
    </cacheField>
    <cacheField name="PP_PCT" numFmtId="0">
      <sharedItems containsSemiMixedTypes="0" containsString="0" containsNumber="1" minValue="11.76" maxValue="28.9"/>
    </cacheField>
    <cacheField name="PPA" numFmtId="0">
      <sharedItems containsSemiMixedTypes="0" containsString="0" containsNumber="1" containsInteger="1" minValue="38" maxValue="66"/>
    </cacheField>
    <cacheField name="PPOA" numFmtId="0">
      <sharedItems containsSemiMixedTypes="0" containsString="0" containsNumber="1" containsInteger="1" minValue="169" maxValue="257"/>
    </cacheField>
    <cacheField name="PK_PCT" numFmtId="0">
      <sharedItems containsSemiMixedTypes="0" containsString="0" containsNumber="1" minValue="70.11" maxValue="83.61"/>
    </cacheField>
    <cacheField name="SH" numFmtId="0">
      <sharedItems containsSemiMixedTypes="0" containsString="0" containsNumber="1" containsInteger="1" minValue="1" maxValue="18"/>
    </cacheField>
    <cacheField name="SHA" numFmtId="0">
      <sharedItems containsSemiMixedTypes="0" containsString="0" containsNumber="1" containsInteger="1" minValue="3" maxValue="13"/>
    </cacheField>
    <cacheField name="PIMPG" numFmtId="0">
      <sharedItems containsSemiMixedTypes="0" containsString="0" containsNumber="1" minValue="5.6" maxValue="10.4"/>
    </cacheField>
    <cacheField name="OPIMPG" numFmtId="0">
      <sharedItems containsSemiMixedTypes="0" containsString="0" containsNumber="1" minValue="6.2" maxValue="10"/>
    </cacheField>
    <cacheField name="S" numFmtId="0">
      <sharedItems containsSemiMixedTypes="0" containsString="0" containsNumber="1" containsInteger="1" minValue="2005" maxValue="2622"/>
    </cacheField>
    <cacheField name="SHOT_PCT" numFmtId="0">
      <sharedItems containsSemiMixedTypes="0" containsString="0" containsNumber="1" minValue="8.8000000000000007" maxValue="12.6"/>
    </cacheField>
    <cacheField name="SA" numFmtId="0">
      <sharedItems containsSemiMixedTypes="0" containsString="0" containsNumber="1" containsInteger="1" minValue="2044" maxValue="2648"/>
    </cacheField>
    <cacheField name="SAVE_PCT" numFmtId="0">
      <sharedItems containsSemiMixedTypes="0" containsString="0" containsNumber="1" minValue="0.872" maxValue="0.91500000000000004"/>
    </cacheField>
    <cacheField name="SO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x v="0"/>
    <n v="29.7"/>
    <n v="82"/>
    <n v="56"/>
    <n v="22"/>
    <n v="4"/>
    <n v="116"/>
    <n v="0.70699999999999996"/>
    <n v="275"/>
    <n v="190"/>
    <n v="85"/>
    <n v="2"/>
    <n v="1"/>
    <n v="1.02"/>
    <n v="-0.03"/>
    <n v="3.35"/>
    <n v="2.3199999999999998"/>
    <n v="63"/>
    <n v="218"/>
    <n v="28.9"/>
    <n v="41"/>
    <n v="199"/>
    <n v="79.400000000000006"/>
    <n v="4"/>
    <n v="4"/>
    <n v="7.2"/>
    <n v="7.9"/>
    <n v="2314"/>
    <n v="11.9"/>
    <n v="2229"/>
    <n v="0.91500000000000004"/>
    <n v="10"/>
  </r>
  <r>
    <n v="2"/>
    <x v="1"/>
    <n v="29.5"/>
    <n v="82"/>
    <n v="51"/>
    <n v="22"/>
    <n v="9"/>
    <n v="111"/>
    <n v="0.67700000000000005"/>
    <n v="286"/>
    <n v="229"/>
    <n v="57"/>
    <n v="2"/>
    <n v="3"/>
    <n v="0.66"/>
    <n v="-0.03"/>
    <n v="3.49"/>
    <n v="2.79"/>
    <n v="52"/>
    <n v="221"/>
    <n v="23.53"/>
    <n v="43"/>
    <n v="239"/>
    <n v="82.01"/>
    <n v="8"/>
    <n v="7"/>
    <n v="9.5"/>
    <n v="8.9"/>
    <n v="2265"/>
    <n v="12.6"/>
    <n v="2229"/>
    <n v="0.89700000000000002"/>
    <n v="3"/>
  </r>
  <r>
    <n v="3"/>
    <x v="2"/>
    <n v="29.4"/>
    <n v="82"/>
    <n v="50"/>
    <n v="22"/>
    <n v="10"/>
    <n v="110"/>
    <n v="0.67100000000000004"/>
    <n v="274"/>
    <n v="214"/>
    <n v="60"/>
    <n v="1"/>
    <n v="5"/>
    <n v="0.65"/>
    <n v="-0.03"/>
    <n v="3.34"/>
    <n v="2.61"/>
    <n v="53"/>
    <n v="187"/>
    <n v="28.34"/>
    <n v="41"/>
    <n v="169"/>
    <n v="75.739999999999995"/>
    <n v="6"/>
    <n v="3"/>
    <n v="5.6"/>
    <n v="6.2"/>
    <n v="2482"/>
    <n v="11"/>
    <n v="2141"/>
    <n v="0.9"/>
    <n v="6"/>
  </r>
  <r>
    <n v="4"/>
    <x v="3"/>
    <n v="29.4"/>
    <n v="82"/>
    <n v="52"/>
    <n v="26"/>
    <n v="4"/>
    <n v="108"/>
    <n v="0.65900000000000003"/>
    <n v="267"/>
    <n v="229"/>
    <n v="38"/>
    <n v="1"/>
    <n v="2"/>
    <n v="0.44"/>
    <n v="-0.01"/>
    <n v="3.26"/>
    <n v="2.79"/>
    <n v="54"/>
    <n v="218"/>
    <n v="24.77"/>
    <n v="52"/>
    <n v="235"/>
    <n v="77.87"/>
    <n v="6"/>
    <n v="7"/>
    <n v="8"/>
    <n v="7.5"/>
    <n v="2297"/>
    <n v="11.6"/>
    <n v="2405"/>
    <n v="0.90500000000000003"/>
    <n v="5"/>
  </r>
  <r>
    <n v="5"/>
    <x v="4"/>
    <n v="28.5"/>
    <n v="82"/>
    <n v="50"/>
    <n v="26"/>
    <n v="6"/>
    <n v="106"/>
    <n v="0.64600000000000002"/>
    <n v="275"/>
    <n v="222"/>
    <n v="53"/>
    <n v="2"/>
    <n v="2"/>
    <n v="0.61"/>
    <n v="-0.04"/>
    <n v="3.35"/>
    <n v="2.71"/>
    <n v="55"/>
    <n v="250"/>
    <n v="22"/>
    <n v="41"/>
    <n v="228"/>
    <n v="82.02"/>
    <n v="8"/>
    <n v="4"/>
    <n v="7"/>
    <n v="7.8"/>
    <n v="2325"/>
    <n v="11.8"/>
    <n v="2382"/>
    <n v="0.90700000000000003"/>
    <n v="4"/>
  </r>
  <r>
    <n v="6"/>
    <x v="5"/>
    <n v="29.4"/>
    <n v="82"/>
    <n v="48"/>
    <n v="25"/>
    <n v="9"/>
    <n v="105"/>
    <n v="0.64"/>
    <n v="249"/>
    <n v="203"/>
    <n v="46"/>
    <n v="1"/>
    <n v="3"/>
    <n v="0.5"/>
    <n v="-0.04"/>
    <n v="3.04"/>
    <n v="2.48"/>
    <n v="37"/>
    <n v="207"/>
    <n v="17.87"/>
    <n v="44"/>
    <n v="237"/>
    <n v="81.430000000000007"/>
    <n v="4"/>
    <n v="6"/>
    <n v="7.8"/>
    <n v="7.8"/>
    <n v="2302"/>
    <n v="10.8"/>
    <n v="2091"/>
    <n v="0.90300000000000002"/>
    <n v="6"/>
  </r>
  <r>
    <n v="7"/>
    <x v="6"/>
    <n v="29.7"/>
    <n v="82"/>
    <n v="47"/>
    <n v="27"/>
    <n v="8"/>
    <n v="102"/>
    <n v="0.622"/>
    <n v="292"/>
    <n v="216"/>
    <n v="76"/>
    <n v="2"/>
    <n v="3"/>
    <n v="0.89"/>
    <n v="-0.03"/>
    <n v="3.56"/>
    <n v="2.63"/>
    <n v="60"/>
    <n v="232"/>
    <n v="25.86"/>
    <n v="38"/>
    <n v="206"/>
    <n v="81.55"/>
    <n v="11"/>
    <n v="13"/>
    <n v="8.1"/>
    <n v="9.3000000000000007"/>
    <n v="2341"/>
    <n v="12.5"/>
    <n v="2311"/>
    <n v="0.90700000000000003"/>
    <n v="7"/>
  </r>
  <r>
    <n v="8"/>
    <x v="7"/>
    <n v="28.7"/>
    <n v="82"/>
    <n v="49"/>
    <n v="29"/>
    <n v="4"/>
    <n v="102"/>
    <n v="0.622"/>
    <n v="273"/>
    <n v="231"/>
    <n v="42"/>
    <n v="4"/>
    <n v="3"/>
    <n v="0.5"/>
    <n v="-0.03"/>
    <n v="3.33"/>
    <n v="2.82"/>
    <n v="58"/>
    <n v="234"/>
    <n v="24.79"/>
    <n v="42"/>
    <n v="208"/>
    <n v="79.81"/>
    <n v="5"/>
    <n v="7"/>
    <n v="6.8"/>
    <n v="7.2"/>
    <n v="2451"/>
    <n v="11.1"/>
    <n v="2126"/>
    <n v="0.89100000000000001"/>
    <n v="5"/>
  </r>
  <r>
    <n v="9"/>
    <x v="8"/>
    <n v="30.4"/>
    <n v="82"/>
    <n v="48"/>
    <n v="29"/>
    <n v="5"/>
    <n v="101"/>
    <n v="0.61599999999999999"/>
    <n v="259"/>
    <n v="235"/>
    <n v="24"/>
    <n v="0"/>
    <n v="1"/>
    <n v="0.26"/>
    <n v="-0.02"/>
    <n v="3.16"/>
    <n v="2.87"/>
    <n v="51"/>
    <n v="215"/>
    <n v="23.72"/>
    <n v="45"/>
    <n v="206"/>
    <n v="78.16"/>
    <n v="5"/>
    <n v="4"/>
    <n v="7.5"/>
    <n v="7.6"/>
    <n v="2622"/>
    <n v="9.9"/>
    <n v="2211"/>
    <n v="0.89400000000000002"/>
    <n v="4"/>
  </r>
  <r>
    <n v="10"/>
    <x v="9"/>
    <n v="29.6"/>
    <n v="82"/>
    <n v="47"/>
    <n v="30"/>
    <n v="5"/>
    <n v="99"/>
    <n v="0.60399999999999998"/>
    <n v="266"/>
    <n v="230"/>
    <n v="36"/>
    <n v="0"/>
    <n v="3"/>
    <n v="0.4"/>
    <n v="0"/>
    <n v="3.24"/>
    <n v="2.8"/>
    <n v="46"/>
    <n v="246"/>
    <n v="18.7"/>
    <n v="40"/>
    <n v="244"/>
    <n v="83.61"/>
    <n v="10"/>
    <n v="5"/>
    <n v="7.9"/>
    <n v="8.1"/>
    <n v="2599"/>
    <n v="10.199999999999999"/>
    <n v="2044"/>
    <n v="0.88700000000000001"/>
    <n v="5"/>
  </r>
  <r>
    <n v="11"/>
    <x v="10"/>
    <n v="29.6"/>
    <n v="82"/>
    <n v="47"/>
    <n v="31"/>
    <n v="4"/>
    <n v="98"/>
    <n v="0.59799999999999998"/>
    <n v="246"/>
    <n v="223"/>
    <n v="23"/>
    <n v="6"/>
    <n v="0"/>
    <n v="0.35"/>
    <n v="-0.01"/>
    <n v="3"/>
    <n v="2.72"/>
    <n v="56"/>
    <n v="238"/>
    <n v="23.53"/>
    <n v="47"/>
    <n v="244"/>
    <n v="80.739999999999995"/>
    <n v="12"/>
    <n v="10"/>
    <n v="10.4"/>
    <n v="9.5"/>
    <n v="2588"/>
    <n v="9.5"/>
    <n v="2146"/>
    <n v="0.89600000000000002"/>
    <n v="8"/>
  </r>
  <r>
    <n v="12"/>
    <x v="11"/>
    <n v="29.7"/>
    <n v="82"/>
    <n v="45"/>
    <n v="30"/>
    <n v="7"/>
    <n v="97"/>
    <n v="0.59099999999999997"/>
    <n v="225"/>
    <n v="236"/>
    <n v="-11"/>
    <n v="3"/>
    <n v="3"/>
    <n v="-0.13"/>
    <n v="0.01"/>
    <n v="2.74"/>
    <n v="2.88"/>
    <n v="43"/>
    <n v="206"/>
    <n v="20.87"/>
    <n v="56"/>
    <n v="203"/>
    <n v="72.41"/>
    <n v="4"/>
    <n v="4"/>
    <n v="7.6"/>
    <n v="7.5"/>
    <n v="2263"/>
    <n v="9.9"/>
    <n v="2427"/>
    <n v="0.90300000000000002"/>
    <n v="6"/>
  </r>
  <r>
    <n v="13"/>
    <x v="12"/>
    <n v="28.2"/>
    <n v="82"/>
    <n v="45"/>
    <n v="30"/>
    <n v="7"/>
    <n v="97"/>
    <n v="0.59099999999999997"/>
    <n v="242"/>
    <n v="232"/>
    <n v="10"/>
    <n v="1"/>
    <n v="2"/>
    <n v="0.11"/>
    <n v="-0.01"/>
    <n v="2.95"/>
    <n v="2.83"/>
    <n v="64"/>
    <n v="269"/>
    <n v="23.79"/>
    <n v="51"/>
    <n v="229"/>
    <n v="77.73"/>
    <n v="9"/>
    <n v="3"/>
    <n v="8.5"/>
    <n v="10"/>
    <n v="2403"/>
    <n v="10.1"/>
    <n v="2346"/>
    <n v="0.90100000000000002"/>
    <n v="10"/>
  </r>
  <r>
    <n v="14"/>
    <x v="13"/>
    <n v="28.4"/>
    <n v="82"/>
    <n v="41"/>
    <n v="27"/>
    <n v="14"/>
    <n v="96"/>
    <n v="0.58499999999999996"/>
    <n v="220"/>
    <n v="236"/>
    <n v="-16"/>
    <n v="5"/>
    <n v="2"/>
    <n v="-0.17"/>
    <n v="-0.02"/>
    <n v="2.68"/>
    <n v="2.88"/>
    <n v="49"/>
    <n v="233"/>
    <n v="21.03"/>
    <n v="54"/>
    <n v="226"/>
    <n v="76.11"/>
    <n v="7"/>
    <n v="6"/>
    <n v="9.1999999999999993"/>
    <n v="9.6"/>
    <n v="2414"/>
    <n v="9.1"/>
    <n v="2372"/>
    <n v="0.90100000000000002"/>
    <n v="5"/>
  </r>
  <r>
    <n v="15"/>
    <x v="14"/>
    <n v="29.3"/>
    <n v="82"/>
    <n v="44"/>
    <n v="30"/>
    <n v="8"/>
    <n v="96"/>
    <n v="0.58499999999999996"/>
    <n v="250"/>
    <n v="231"/>
    <n v="19"/>
    <n v="4"/>
    <n v="2"/>
    <n v="0.25"/>
    <n v="-0.01"/>
    <n v="3.05"/>
    <n v="2.82"/>
    <n v="43"/>
    <n v="195"/>
    <n v="22.05"/>
    <n v="49"/>
    <n v="191"/>
    <n v="74.349999999999994"/>
    <n v="4"/>
    <n v="5"/>
    <n v="7.5"/>
    <n v="8.1999999999999993"/>
    <n v="2185"/>
    <n v="11.4"/>
    <n v="2236"/>
    <n v="0.89700000000000002"/>
    <n v="4"/>
  </r>
  <r>
    <n v="16"/>
    <x v="15"/>
    <n v="26.9"/>
    <n v="82"/>
    <n v="40"/>
    <n v="31"/>
    <n v="11"/>
    <n v="91"/>
    <n v="0.55500000000000005"/>
    <n v="243"/>
    <n v="261"/>
    <n v="-18"/>
    <n v="2"/>
    <n v="4"/>
    <n v="-0.23"/>
    <n v="0.02"/>
    <n v="2.96"/>
    <n v="3.18"/>
    <n v="47"/>
    <n v="234"/>
    <n v="20.09"/>
    <n v="49"/>
    <n v="257"/>
    <n v="80.930000000000007"/>
    <n v="9"/>
    <n v="6"/>
    <n v="9.3000000000000007"/>
    <n v="8.3000000000000007"/>
    <n v="2095"/>
    <n v="11.6"/>
    <n v="2383"/>
    <n v="0.89"/>
    <n v="5"/>
  </r>
  <r>
    <n v="17"/>
    <x v="16"/>
    <n v="29.6"/>
    <n v="82"/>
    <n v="42"/>
    <n v="33"/>
    <n v="7"/>
    <n v="91"/>
    <n v="0.55500000000000005"/>
    <n v="240"/>
    <n v="220"/>
    <n v="20"/>
    <n v="2"/>
    <n v="2"/>
    <n v="0.24"/>
    <n v="-0.01"/>
    <n v="2.93"/>
    <n v="2.68"/>
    <n v="61"/>
    <n v="216"/>
    <n v="28.24"/>
    <n v="39"/>
    <n v="225"/>
    <n v="82.67"/>
    <n v="7"/>
    <n v="4"/>
    <n v="8.4"/>
    <n v="7.5"/>
    <n v="2303"/>
    <n v="10.4"/>
    <n v="2160"/>
    <n v="0.89800000000000002"/>
    <n v="9"/>
  </r>
  <r>
    <n v="18"/>
    <x v="17"/>
    <n v="28.6"/>
    <n v="82"/>
    <n v="38"/>
    <n v="30"/>
    <n v="14"/>
    <n v="90"/>
    <n v="0.54900000000000004"/>
    <n v="233"/>
    <n v="251"/>
    <n v="-18"/>
    <n v="3"/>
    <n v="2"/>
    <n v="-0.22"/>
    <n v="-0.01"/>
    <n v="2.84"/>
    <n v="3.06"/>
    <n v="50"/>
    <n v="222"/>
    <n v="22.52"/>
    <n v="39"/>
    <n v="224"/>
    <n v="82.59"/>
    <n v="4"/>
    <n v="7"/>
    <n v="9.3000000000000007"/>
    <n v="9.1"/>
    <n v="2094"/>
    <n v="11.1"/>
    <n v="2198"/>
    <n v="0.88600000000000001"/>
    <n v="5"/>
  </r>
  <r>
    <n v="19"/>
    <x v="18"/>
    <n v="27.6"/>
    <n v="82"/>
    <n v="40"/>
    <n v="33"/>
    <n v="9"/>
    <n v="89"/>
    <n v="0.54300000000000004"/>
    <n v="267"/>
    <n v="267"/>
    <n v="0"/>
    <n v="6"/>
    <n v="1"/>
    <n v="0.06"/>
    <n v="0"/>
    <n v="3.26"/>
    <n v="3.26"/>
    <n v="36"/>
    <n v="185"/>
    <n v="19.46"/>
    <n v="50"/>
    <n v="217"/>
    <n v="76.959999999999994"/>
    <n v="9"/>
    <n v="7"/>
    <n v="8.1999999999999993"/>
    <n v="7.5"/>
    <n v="2382"/>
    <n v="11.2"/>
    <n v="2453"/>
    <n v="0.89100000000000001"/>
    <n v="4"/>
  </r>
  <r>
    <n v="20"/>
    <x v="19"/>
    <n v="27.7"/>
    <n v="82"/>
    <n v="38"/>
    <n v="31"/>
    <n v="13"/>
    <n v="89"/>
    <n v="0.54300000000000004"/>
    <n v="240"/>
    <n v="247"/>
    <n v="-7"/>
    <n v="1"/>
    <n v="4"/>
    <n v="-0.11"/>
    <n v="0.01"/>
    <n v="2.93"/>
    <n v="3.01"/>
    <n v="57"/>
    <n v="236"/>
    <n v="24.15"/>
    <n v="52"/>
    <n v="251"/>
    <n v="79.28"/>
    <n v="4"/>
    <n v="8"/>
    <n v="9.6"/>
    <n v="9.5"/>
    <n v="2339"/>
    <n v="10.3"/>
    <n v="2271"/>
    <n v="0.89100000000000001"/>
    <n v="2"/>
  </r>
  <r>
    <n v="21"/>
    <x v="20"/>
    <n v="29.5"/>
    <n v="82"/>
    <n v="39"/>
    <n v="35"/>
    <n v="8"/>
    <n v="86"/>
    <n v="0.52400000000000002"/>
    <n v="235"/>
    <n v="259"/>
    <n v="-24"/>
    <n v="3"/>
    <n v="0"/>
    <n v="-0.23"/>
    <n v="0.02"/>
    <n v="2.87"/>
    <n v="3.16"/>
    <n v="64"/>
    <n v="237"/>
    <n v="27"/>
    <n v="55"/>
    <n v="184"/>
    <n v="70.11"/>
    <n v="2"/>
    <n v="7"/>
    <n v="6.8"/>
    <n v="8.1999999999999993"/>
    <n v="2249"/>
    <n v="10.4"/>
    <n v="2335"/>
    <n v="0.88900000000000001"/>
    <n v="4"/>
  </r>
  <r>
    <n v="22"/>
    <x v="21"/>
    <n v="28.9"/>
    <n v="82"/>
    <n v="39"/>
    <n v="36"/>
    <n v="7"/>
    <n v="85"/>
    <n v="0.51800000000000002"/>
    <n v="255"/>
    <n v="255"/>
    <n v="0"/>
    <n v="1"/>
    <n v="0"/>
    <n v="0.01"/>
    <n v="0"/>
    <n v="3.11"/>
    <n v="3.11"/>
    <n v="37"/>
    <n v="210"/>
    <n v="17.62"/>
    <n v="47"/>
    <n v="239"/>
    <n v="80.33"/>
    <n v="18"/>
    <n v="7"/>
    <n v="8.4"/>
    <n v="7.6"/>
    <n v="2344"/>
    <n v="10.9"/>
    <n v="2451"/>
    <n v="0.89600000000000002"/>
    <n v="9"/>
  </r>
  <r>
    <n v="23"/>
    <x v="22"/>
    <n v="29.7"/>
    <n v="82"/>
    <n v="35"/>
    <n v="35"/>
    <n v="12"/>
    <n v="82"/>
    <n v="0.5"/>
    <n v="222"/>
    <n v="257"/>
    <n v="-35"/>
    <n v="2"/>
    <n v="3"/>
    <n v="-0.43"/>
    <n v="0.01"/>
    <n v="2.71"/>
    <n v="3.13"/>
    <n v="26"/>
    <n v="207"/>
    <n v="12.56"/>
    <n v="50"/>
    <n v="180"/>
    <n v="72.22"/>
    <n v="9"/>
    <n v="8"/>
    <n v="5.7"/>
    <n v="6.5"/>
    <n v="2418"/>
    <n v="9.1999999999999993"/>
    <n v="2356"/>
    <n v="0.89100000000000001"/>
    <n v="4"/>
  </r>
  <r>
    <n v="24"/>
    <x v="23"/>
    <n v="30.9"/>
    <n v="82"/>
    <n v="34"/>
    <n v="36"/>
    <n v="12"/>
    <n v="80"/>
    <n v="0.48799999999999999"/>
    <n v="242"/>
    <n v="287"/>
    <n v="-45"/>
    <n v="1"/>
    <n v="6"/>
    <n v="-0.59"/>
    <n v="0.02"/>
    <n v="2.95"/>
    <n v="3.5"/>
    <n v="57"/>
    <n v="221"/>
    <n v="25.79"/>
    <n v="48"/>
    <n v="216"/>
    <n v="77.78"/>
    <n v="5"/>
    <n v="5"/>
    <n v="6.8"/>
    <n v="7.3"/>
    <n v="2323"/>
    <n v="10.4"/>
    <n v="2470"/>
    <n v="0.88400000000000001"/>
    <n v="3"/>
  </r>
  <r>
    <n v="25"/>
    <x v="24"/>
    <n v="27.4"/>
    <n v="82"/>
    <n v="35"/>
    <n v="37"/>
    <n v="10"/>
    <n v="80"/>
    <n v="0.48799999999999999"/>
    <n v="217"/>
    <n v="261"/>
    <n v="-44"/>
    <n v="4"/>
    <n v="2"/>
    <n v="-0.49"/>
    <n v="0.03"/>
    <n v="2.65"/>
    <n v="3.18"/>
    <n v="26"/>
    <n v="221"/>
    <n v="11.76"/>
    <n v="64"/>
    <n v="248"/>
    <n v="74.19"/>
    <n v="3"/>
    <n v="6"/>
    <n v="8.9"/>
    <n v="7.8"/>
    <n v="2270"/>
    <n v="9.6"/>
    <n v="2648"/>
    <n v="0.90100000000000002"/>
    <n v="1"/>
  </r>
  <r>
    <n v="26"/>
    <x v="25"/>
    <n v="26.1"/>
    <n v="82"/>
    <n v="36"/>
    <n v="39"/>
    <n v="7"/>
    <n v="79"/>
    <n v="0.48199999999999998"/>
    <n v="265"/>
    <n v="287"/>
    <n v="-22"/>
    <n v="4"/>
    <n v="2"/>
    <n v="-0.24"/>
    <n v="0.01"/>
    <n v="3.23"/>
    <n v="3.5"/>
    <n v="43"/>
    <n v="229"/>
    <n v="18.78"/>
    <n v="57"/>
    <n v="241"/>
    <n v="76.349999999999994"/>
    <n v="10"/>
    <n v="8"/>
    <n v="10.199999999999999"/>
    <n v="9.6"/>
    <n v="2278"/>
    <n v="11.6"/>
    <n v="2368"/>
    <n v="0.879"/>
    <n v="3"/>
  </r>
  <r>
    <n v="27"/>
    <x v="26"/>
    <n v="28.1"/>
    <n v="82"/>
    <n v="33"/>
    <n v="39"/>
    <n v="10"/>
    <n v="76"/>
    <n v="0.46300000000000002"/>
    <n v="222"/>
    <n v="271"/>
    <n v="-49"/>
    <n v="0"/>
    <n v="1"/>
    <n v="-0.56999999999999995"/>
    <n v="0.04"/>
    <n v="2.71"/>
    <n v="3.3"/>
    <n v="35"/>
    <n v="230"/>
    <n v="15.22"/>
    <n v="56"/>
    <n v="236"/>
    <n v="76.27"/>
    <n v="6"/>
    <n v="13"/>
    <n v="9.8000000000000007"/>
    <n v="9.4"/>
    <n v="2173"/>
    <n v="10.199999999999999"/>
    <n v="2346"/>
    <n v="0.88400000000000001"/>
    <n v="7"/>
  </r>
  <r>
    <n v="28"/>
    <x v="27"/>
    <n v="28.9"/>
    <n v="82"/>
    <n v="35"/>
    <n v="41"/>
    <n v="6"/>
    <n v="76"/>
    <n v="0.46300000000000002"/>
    <n v="245"/>
    <n v="262"/>
    <n v="-17"/>
    <n v="2"/>
    <n v="3"/>
    <n v="-0.23"/>
    <n v="-0.01"/>
    <n v="2.99"/>
    <n v="3.2"/>
    <n v="43"/>
    <n v="227"/>
    <n v="18.940000000000001"/>
    <n v="44"/>
    <n v="193"/>
    <n v="77.2"/>
    <n v="3"/>
    <n v="4"/>
    <n v="7.1"/>
    <n v="7.9"/>
    <n v="2243"/>
    <n v="10.9"/>
    <n v="2342"/>
    <n v="0.88800000000000001"/>
    <n v="2"/>
  </r>
  <r>
    <n v="29"/>
    <x v="28"/>
    <n v="26.8"/>
    <n v="82"/>
    <n v="33"/>
    <n v="39"/>
    <n v="10"/>
    <n v="76"/>
    <n v="0.46300000000000002"/>
    <n v="232"/>
    <n v="283"/>
    <n v="-51"/>
    <n v="6"/>
    <n v="3"/>
    <n v="-0.56000000000000005"/>
    <n v="0.02"/>
    <n v="2.83"/>
    <n v="3.45"/>
    <n v="32"/>
    <n v="214"/>
    <n v="14.95"/>
    <n v="45"/>
    <n v="201"/>
    <n v="77.61"/>
    <n v="4"/>
    <n v="10"/>
    <n v="7.3"/>
    <n v="7.4"/>
    <n v="2212"/>
    <n v="10.5"/>
    <n v="2210"/>
    <n v="0.872"/>
    <n v="3"/>
  </r>
  <r>
    <n v="30"/>
    <x v="29"/>
    <n v="29.9"/>
    <n v="82"/>
    <n v="30"/>
    <n v="44"/>
    <n v="8"/>
    <n v="68"/>
    <n v="0.41499999999999998"/>
    <n v="212"/>
    <n v="274"/>
    <n v="-62"/>
    <n v="2"/>
    <n v="0"/>
    <n v="-0.69"/>
    <n v="0.04"/>
    <n v="2.59"/>
    <n v="3.34"/>
    <n v="50"/>
    <n v="229"/>
    <n v="21.83"/>
    <n v="45"/>
    <n v="243"/>
    <n v="81.48"/>
    <n v="1"/>
    <n v="5"/>
    <n v="9.8000000000000007"/>
    <n v="9.1999999999999993"/>
    <n v="2403"/>
    <n v="8.8000000000000007"/>
    <n v="2342"/>
    <n v="0.88300000000000001"/>
    <n v="4"/>
  </r>
  <r>
    <n v="31"/>
    <x v="30"/>
    <n v="28.1"/>
    <n v="82"/>
    <n v="25"/>
    <n v="46"/>
    <n v="11"/>
    <n v="61"/>
    <n v="0.372"/>
    <n v="224"/>
    <n v="292"/>
    <n v="-68"/>
    <n v="2"/>
    <n v="4"/>
    <n v="-0.83"/>
    <n v="0.03"/>
    <n v="2.73"/>
    <n v="3.56"/>
    <n v="47"/>
    <n v="189"/>
    <n v="24.87"/>
    <n v="47"/>
    <n v="227"/>
    <n v="79.3"/>
    <n v="6"/>
    <n v="7"/>
    <n v="8.6"/>
    <n v="7.2"/>
    <n v="2005"/>
    <n v="11.2"/>
    <n v="2550"/>
    <n v="0.88500000000000001"/>
    <n v="0"/>
  </r>
  <r>
    <n v="32"/>
    <x v="31"/>
    <n v="27.2"/>
    <n v="82"/>
    <n v="20"/>
    <n v="50"/>
    <n v="12"/>
    <n v="52"/>
    <n v="0.317"/>
    <n v="208"/>
    <n v="310"/>
    <n v="-102"/>
    <n v="2"/>
    <n v="5"/>
    <n v="-1.24"/>
    <n v="0.04"/>
    <n v="2.54"/>
    <n v="3.78"/>
    <n v="42"/>
    <n v="226"/>
    <n v="18.579999999999998"/>
    <n v="66"/>
    <n v="256"/>
    <n v="74.22"/>
    <n v="5"/>
    <n v="8"/>
    <n v="8.6999999999999993"/>
    <n v="8.6"/>
    <n v="2203"/>
    <n v="9.4"/>
    <n v="2606"/>
    <n v="0.8810000000000000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C7B04-4F6F-4B33-A3C0-DF206E1F51D0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6" firstHeaderRow="0" firstDataRow="1" firstDataCol="1"/>
  <pivotFields count="33">
    <pivotField showAll="0"/>
    <pivotField axis="axisRow" showAll="0">
      <items count="33">
        <item x="24"/>
        <item x="26"/>
        <item x="25"/>
        <item x="13"/>
        <item x="9"/>
        <item x="30"/>
        <item x="7"/>
        <item x="18"/>
        <item x="4"/>
        <item x="20"/>
        <item x="8"/>
        <item x="10"/>
        <item x="5"/>
        <item x="11"/>
        <item x="15"/>
        <item x="29"/>
        <item x="16"/>
        <item x="22"/>
        <item x="21"/>
        <item x="12"/>
        <item x="28"/>
        <item x="23"/>
        <item x="31"/>
        <item x="27"/>
        <item x="14"/>
        <item x="6"/>
        <item x="3"/>
        <item x="19"/>
        <item x="17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OAL_DIFF" fld="11" subtotal="average" baseField="1" baseItem="0"/>
    <dataField name="Average of W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13F131-EB8C-4E14-9ECC-DBE364E1E859}" name="Table1" displayName="Table1" ref="A1:AG33" totalsRowShown="0">
  <autoFilter ref="A1:AG33" xr:uid="{B513F131-EB8C-4E14-9ECC-DBE364E1E859}"/>
  <tableColumns count="33">
    <tableColumn id="1" xr3:uid="{E5758BD6-E87A-4E09-921F-AB5E3BF0AC1C}" name="RANK"/>
    <tableColumn id="2" xr3:uid="{1678FB5E-EEB9-4892-B269-540C7827A16E}" name="TEAM"/>
    <tableColumn id="3" xr3:uid="{640838B3-53CB-4D21-9820-F8C78371E26B}" name="AVG_AGE"/>
    <tableColumn id="4" xr3:uid="{A0A3EB1A-EAA8-48BC-96C5-7A9F89EB3605}" name="GP"/>
    <tableColumn id="5" xr3:uid="{B3B36A7B-4F1A-4557-8929-9595B1336F5C}" name="W"/>
    <tableColumn id="6" xr3:uid="{64B45C16-4A9E-41CD-BD5D-9FEE6E1DE5B5}" name="L"/>
    <tableColumn id="7" xr3:uid="{50D38BE6-9BFC-405A-9892-2D47CF818E0F}" name="OL"/>
    <tableColumn id="8" xr3:uid="{252294F9-CC47-4CAD-BFC5-8011C7188E53}" name="PTS"/>
    <tableColumn id="9" xr3:uid="{B78FD98C-6B7D-4DF7-BD49-41748AEDC08C}" name="PTS_PCT"/>
    <tableColumn id="10" xr3:uid="{551C3C90-A1ED-4BC7-A067-E421CB48439D}" name="GF"/>
    <tableColumn id="11" xr3:uid="{7566ABFF-3A78-4757-BA9E-059EDA2DA13A}" name="GA"/>
    <tableColumn id="33" xr3:uid="{C0434378-A278-457F-8C93-B5B24D9022B7}" name="GOAL_DIFF" dataDxfId="0">
      <calculatedColumnFormula>Table1[[#This Row],[GF]]-Table1[[#This Row],[GA]]</calculatedColumnFormula>
    </tableColumn>
    <tableColumn id="12" xr3:uid="{9EF33E4B-49AF-4B57-9343-3AB6FE0548B1}" name="SOW"/>
    <tableColumn id="13" xr3:uid="{1A194B8A-343C-4C19-B4EF-FC112CB24C75}" name="SOL"/>
    <tableColumn id="14" xr3:uid="{04CB49AF-2DAF-46CC-B278-8E977165272B}" name="SRS"/>
    <tableColumn id="15" xr3:uid="{A35C1516-E873-4F27-9B70-A7BE4D8F6ED4}" name="SOS"/>
    <tableColumn id="16" xr3:uid="{1C075D33-AAF7-4706-9821-0336F2CFF774}" name="GFPG"/>
    <tableColumn id="17" xr3:uid="{CAD6714F-EB6B-4A3B-B0A1-2A05FAF8BE1B}" name="GAPG"/>
    <tableColumn id="18" xr3:uid="{A83EBDA2-5952-44C9-A734-A99288BC4C3D}" name="PP"/>
    <tableColumn id="19" xr3:uid="{26367F46-DD13-4B3B-BF7A-A08E1C24B376}" name="PPO"/>
    <tableColumn id="20" xr3:uid="{D85AAEBA-BD48-4BA9-BEB9-6CEBFC446FD8}" name="PP_PCT"/>
    <tableColumn id="21" xr3:uid="{3DF48D0D-2271-49A7-B1E9-5094612BAAC2}" name="PPA"/>
    <tableColumn id="22" xr3:uid="{728ADB7B-9C22-4504-B4C3-532A5494E9FF}" name="PPOA"/>
    <tableColumn id="23" xr3:uid="{4BC3C6AE-3924-4C44-9514-9FA56EDDBA34}" name="PK_PCT"/>
    <tableColumn id="24" xr3:uid="{7A6B1B01-A702-4F07-9051-9D58CD18EBA5}" name="SH"/>
    <tableColumn id="25" xr3:uid="{CF45BA43-4996-4A93-838C-8037D7C96A2F}" name="SHA"/>
    <tableColumn id="26" xr3:uid="{C3D58CAA-566B-4F99-A97D-FD674EC2668E}" name="PIMPG"/>
    <tableColumn id="27" xr3:uid="{B185D171-563C-4109-AF12-B84FF51B1424}" name="OPIMPG"/>
    <tableColumn id="28" xr3:uid="{C8C4C63C-1C28-4A01-A3C8-39676F446B83}" name="S"/>
    <tableColumn id="29" xr3:uid="{B929E5AE-4F54-4B76-9CA2-C88836A749FB}" name="SHOT_PCT"/>
    <tableColumn id="30" xr3:uid="{BAAD435E-4D4D-4E48-A8E4-7D2B13796525}" name="SA"/>
    <tableColumn id="31" xr3:uid="{3D9BB9D1-04CF-4BD0-BBF0-BAFC5CD8173A}" name="SAVE_PCT"/>
    <tableColumn id="32" xr3:uid="{1A096A02-E243-4F36-8896-0C3C2D7F02D0}" name="S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9D0B-CE45-49D7-A03D-D6EAD08A2E73}">
  <dimension ref="A3:C36"/>
  <sheetViews>
    <sheetView workbookViewId="0">
      <selection activeCell="A3" sqref="A3:C36"/>
    </sheetView>
  </sheetViews>
  <sheetFormatPr defaultRowHeight="14.5" x14ac:dyDescent="0.35"/>
  <cols>
    <col min="1" max="1" width="19.54296875" bestFit="1" customWidth="1"/>
    <col min="2" max="2" width="19.08984375" bestFit="1" customWidth="1"/>
    <col min="3" max="3" width="11.36328125" bestFit="1" customWidth="1"/>
  </cols>
  <sheetData>
    <row r="3" spans="1:3" x14ac:dyDescent="0.35">
      <c r="A3" s="1" t="s">
        <v>65</v>
      </c>
      <c r="B3" t="s">
        <v>67</v>
      </c>
      <c r="C3" t="s">
        <v>68</v>
      </c>
    </row>
    <row r="4" spans="1:3" x14ac:dyDescent="0.35">
      <c r="A4" s="2" t="s">
        <v>56</v>
      </c>
      <c r="B4" s="3">
        <v>-44</v>
      </c>
      <c r="C4" s="3">
        <v>35</v>
      </c>
    </row>
    <row r="5" spans="1:3" x14ac:dyDescent="0.35">
      <c r="A5" s="2" t="s">
        <v>58</v>
      </c>
      <c r="B5" s="3">
        <v>-49</v>
      </c>
      <c r="C5" s="3">
        <v>33</v>
      </c>
    </row>
    <row r="6" spans="1:3" x14ac:dyDescent="0.35">
      <c r="A6" s="2" t="s">
        <v>57</v>
      </c>
      <c r="B6" s="3">
        <v>-22</v>
      </c>
      <c r="C6" s="3">
        <v>36</v>
      </c>
    </row>
    <row r="7" spans="1:3" x14ac:dyDescent="0.35">
      <c r="A7" s="2" t="s">
        <v>45</v>
      </c>
      <c r="B7" s="3">
        <v>-16</v>
      </c>
      <c r="C7" s="3">
        <v>41</v>
      </c>
    </row>
    <row r="8" spans="1:3" x14ac:dyDescent="0.35">
      <c r="A8" s="2" t="s">
        <v>41</v>
      </c>
      <c r="B8" s="3">
        <v>36</v>
      </c>
      <c r="C8" s="3">
        <v>47</v>
      </c>
    </row>
    <row r="9" spans="1:3" x14ac:dyDescent="0.35">
      <c r="A9" s="2" t="s">
        <v>62</v>
      </c>
      <c r="B9" s="3">
        <v>-68</v>
      </c>
      <c r="C9" s="3">
        <v>25</v>
      </c>
    </row>
    <row r="10" spans="1:3" x14ac:dyDescent="0.35">
      <c r="A10" s="2" t="s">
        <v>39</v>
      </c>
      <c r="B10" s="3">
        <v>42</v>
      </c>
      <c r="C10" s="3">
        <v>49</v>
      </c>
    </row>
    <row r="11" spans="1:3" x14ac:dyDescent="0.35">
      <c r="A11" s="2" t="s">
        <v>50</v>
      </c>
      <c r="B11" s="3">
        <v>0</v>
      </c>
      <c r="C11" s="3">
        <v>40</v>
      </c>
    </row>
    <row r="12" spans="1:3" x14ac:dyDescent="0.35">
      <c r="A12" s="2" t="s">
        <v>36</v>
      </c>
      <c r="B12" s="3">
        <v>53</v>
      </c>
      <c r="C12" s="3">
        <v>50</v>
      </c>
    </row>
    <row r="13" spans="1:3" x14ac:dyDescent="0.35">
      <c r="A13" s="2" t="s">
        <v>52</v>
      </c>
      <c r="B13" s="3">
        <v>-24</v>
      </c>
      <c r="C13" s="3">
        <v>39</v>
      </c>
    </row>
    <row r="14" spans="1:3" x14ac:dyDescent="0.35">
      <c r="A14" s="2" t="s">
        <v>40</v>
      </c>
      <c r="B14" s="3">
        <v>24</v>
      </c>
      <c r="C14" s="3">
        <v>48</v>
      </c>
    </row>
    <row r="15" spans="1:3" x14ac:dyDescent="0.35">
      <c r="A15" s="2" t="s">
        <v>42</v>
      </c>
      <c r="B15" s="3">
        <v>23</v>
      </c>
      <c r="C15" s="3">
        <v>47</v>
      </c>
    </row>
    <row r="16" spans="1:3" x14ac:dyDescent="0.35">
      <c r="A16" s="2" t="s">
        <v>37</v>
      </c>
      <c r="B16" s="3">
        <v>46</v>
      </c>
      <c r="C16" s="3">
        <v>48</v>
      </c>
    </row>
    <row r="17" spans="1:3" x14ac:dyDescent="0.35">
      <c r="A17" s="2" t="s">
        <v>43</v>
      </c>
      <c r="B17" s="3">
        <v>-11</v>
      </c>
      <c r="C17" s="3">
        <v>45</v>
      </c>
    </row>
    <row r="18" spans="1:3" x14ac:dyDescent="0.35">
      <c r="A18" s="2" t="s">
        <v>47</v>
      </c>
      <c r="B18" s="3">
        <v>-18</v>
      </c>
      <c r="C18" s="3">
        <v>40</v>
      </c>
    </row>
    <row r="19" spans="1:3" x14ac:dyDescent="0.35">
      <c r="A19" s="2" t="s">
        <v>61</v>
      </c>
      <c r="B19" s="3">
        <v>-62</v>
      </c>
      <c r="C19" s="3">
        <v>30</v>
      </c>
    </row>
    <row r="20" spans="1:3" x14ac:dyDescent="0.35">
      <c r="A20" s="2" t="s">
        <v>48</v>
      </c>
      <c r="B20" s="3">
        <v>20</v>
      </c>
      <c r="C20" s="3">
        <v>42</v>
      </c>
    </row>
    <row r="21" spans="1:3" x14ac:dyDescent="0.35">
      <c r="A21" s="2" t="s">
        <v>54</v>
      </c>
      <c r="B21" s="3">
        <v>-35</v>
      </c>
      <c r="C21" s="3">
        <v>35</v>
      </c>
    </row>
    <row r="22" spans="1:3" x14ac:dyDescent="0.35">
      <c r="A22" s="2" t="s">
        <v>53</v>
      </c>
      <c r="B22" s="3">
        <v>0</v>
      </c>
      <c r="C22" s="3">
        <v>39</v>
      </c>
    </row>
    <row r="23" spans="1:3" x14ac:dyDescent="0.35">
      <c r="A23" s="2" t="s">
        <v>44</v>
      </c>
      <c r="B23" s="3">
        <v>10</v>
      </c>
      <c r="C23" s="3">
        <v>45</v>
      </c>
    </row>
    <row r="24" spans="1:3" x14ac:dyDescent="0.35">
      <c r="A24" s="2" t="s">
        <v>60</v>
      </c>
      <c r="B24" s="3">
        <v>-51</v>
      </c>
      <c r="C24" s="3">
        <v>33</v>
      </c>
    </row>
    <row r="25" spans="1:3" x14ac:dyDescent="0.35">
      <c r="A25" s="2" t="s">
        <v>55</v>
      </c>
      <c r="B25" s="3">
        <v>-45</v>
      </c>
      <c r="C25" s="3">
        <v>34</v>
      </c>
    </row>
    <row r="26" spans="1:3" x14ac:dyDescent="0.35">
      <c r="A26" s="2" t="s">
        <v>63</v>
      </c>
      <c r="B26" s="3">
        <v>-102</v>
      </c>
      <c r="C26" s="3">
        <v>20</v>
      </c>
    </row>
    <row r="27" spans="1:3" x14ac:dyDescent="0.35">
      <c r="A27" s="2" t="s">
        <v>59</v>
      </c>
      <c r="B27" s="3">
        <v>-17</v>
      </c>
      <c r="C27" s="3">
        <v>35</v>
      </c>
    </row>
    <row r="28" spans="1:3" x14ac:dyDescent="0.35">
      <c r="A28" s="2" t="s">
        <v>46</v>
      </c>
      <c r="B28" s="3">
        <v>19</v>
      </c>
      <c r="C28" s="3">
        <v>44</v>
      </c>
    </row>
    <row r="29" spans="1:3" x14ac:dyDescent="0.35">
      <c r="A29" s="2" t="s">
        <v>38</v>
      </c>
      <c r="B29" s="3">
        <v>76</v>
      </c>
      <c r="C29" s="3">
        <v>47</v>
      </c>
    </row>
    <row r="30" spans="1:3" x14ac:dyDescent="0.35">
      <c r="A30" s="2" t="s">
        <v>35</v>
      </c>
      <c r="B30" s="3">
        <v>38</v>
      </c>
      <c r="C30" s="3">
        <v>52</v>
      </c>
    </row>
    <row r="31" spans="1:3" x14ac:dyDescent="0.35">
      <c r="A31" s="2" t="s">
        <v>51</v>
      </c>
      <c r="B31" s="3">
        <v>-7</v>
      </c>
      <c r="C31" s="3">
        <v>38</v>
      </c>
    </row>
    <row r="32" spans="1:3" x14ac:dyDescent="0.35">
      <c r="A32" s="2" t="s">
        <v>49</v>
      </c>
      <c r="B32" s="3">
        <v>-18</v>
      </c>
      <c r="C32" s="3">
        <v>38</v>
      </c>
    </row>
    <row r="33" spans="1:3" x14ac:dyDescent="0.35">
      <c r="A33" s="2" t="s">
        <v>34</v>
      </c>
      <c r="B33" s="3">
        <v>60</v>
      </c>
      <c r="C33" s="3">
        <v>50</v>
      </c>
    </row>
    <row r="34" spans="1:3" x14ac:dyDescent="0.35">
      <c r="A34" s="2" t="s">
        <v>33</v>
      </c>
      <c r="B34" s="3">
        <v>57</v>
      </c>
      <c r="C34" s="3">
        <v>51</v>
      </c>
    </row>
    <row r="35" spans="1:3" x14ac:dyDescent="0.35">
      <c r="A35" s="2" t="s">
        <v>32</v>
      </c>
      <c r="B35" s="3">
        <v>85</v>
      </c>
      <c r="C35" s="3">
        <v>56</v>
      </c>
    </row>
    <row r="36" spans="1:3" x14ac:dyDescent="0.35">
      <c r="A36" s="2" t="s">
        <v>66</v>
      </c>
      <c r="B36" s="3">
        <v>0</v>
      </c>
      <c r="C36" s="3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2367-D6E6-4630-A5C9-5E2FBA495A82}">
  <dimension ref="A1:C34"/>
  <sheetViews>
    <sheetView tabSelected="1" workbookViewId="0">
      <selection activeCell="E29" sqref="E29"/>
    </sheetView>
  </sheetViews>
  <sheetFormatPr defaultRowHeight="14.5" x14ac:dyDescent="0.35"/>
  <sheetData>
    <row r="1" spans="1:3" x14ac:dyDescent="0.35">
      <c r="A1" t="s">
        <v>1</v>
      </c>
      <c r="B1" t="s">
        <v>69</v>
      </c>
      <c r="C1" t="s">
        <v>70</v>
      </c>
    </row>
    <row r="2" spans="1:3" x14ac:dyDescent="0.35">
      <c r="A2" t="s">
        <v>56</v>
      </c>
      <c r="B2">
        <v>-44</v>
      </c>
      <c r="C2">
        <v>35</v>
      </c>
    </row>
    <row r="3" spans="1:3" x14ac:dyDescent="0.35">
      <c r="A3" t="s">
        <v>58</v>
      </c>
      <c r="B3">
        <v>-49</v>
      </c>
      <c r="C3">
        <v>33</v>
      </c>
    </row>
    <row r="4" spans="1:3" x14ac:dyDescent="0.35">
      <c r="A4" t="s">
        <v>57</v>
      </c>
      <c r="B4">
        <v>-22</v>
      </c>
      <c r="C4">
        <v>36</v>
      </c>
    </row>
    <row r="5" spans="1:3" x14ac:dyDescent="0.35">
      <c r="A5" t="s">
        <v>45</v>
      </c>
      <c r="B5">
        <v>-16</v>
      </c>
      <c r="C5">
        <v>41</v>
      </c>
    </row>
    <row r="6" spans="1:3" x14ac:dyDescent="0.35">
      <c r="A6" t="s">
        <v>41</v>
      </c>
      <c r="B6">
        <v>36</v>
      </c>
      <c r="C6">
        <v>47</v>
      </c>
    </row>
    <row r="7" spans="1:3" x14ac:dyDescent="0.35">
      <c r="A7" t="s">
        <v>62</v>
      </c>
      <c r="B7">
        <v>-68</v>
      </c>
      <c r="C7">
        <v>25</v>
      </c>
    </row>
    <row r="8" spans="1:3" x14ac:dyDescent="0.35">
      <c r="A8" t="s">
        <v>39</v>
      </c>
      <c r="B8">
        <v>42</v>
      </c>
      <c r="C8">
        <v>49</v>
      </c>
    </row>
    <row r="9" spans="1:3" x14ac:dyDescent="0.35">
      <c r="A9" t="s">
        <v>50</v>
      </c>
      <c r="B9">
        <v>0</v>
      </c>
      <c r="C9">
        <v>40</v>
      </c>
    </row>
    <row r="10" spans="1:3" x14ac:dyDescent="0.35">
      <c r="A10" t="s">
        <v>36</v>
      </c>
      <c r="B10">
        <v>53</v>
      </c>
      <c r="C10">
        <v>50</v>
      </c>
    </row>
    <row r="11" spans="1:3" x14ac:dyDescent="0.35">
      <c r="A11" t="s">
        <v>52</v>
      </c>
      <c r="B11">
        <v>-24</v>
      </c>
      <c r="C11">
        <v>39</v>
      </c>
    </row>
    <row r="12" spans="1:3" x14ac:dyDescent="0.35">
      <c r="A12" t="s">
        <v>40</v>
      </c>
      <c r="B12">
        <v>24</v>
      </c>
      <c r="C12">
        <v>48</v>
      </c>
    </row>
    <row r="13" spans="1:3" x14ac:dyDescent="0.35">
      <c r="A13" t="s">
        <v>42</v>
      </c>
      <c r="B13">
        <v>23</v>
      </c>
      <c r="C13">
        <v>47</v>
      </c>
    </row>
    <row r="14" spans="1:3" x14ac:dyDescent="0.35">
      <c r="A14" t="s">
        <v>37</v>
      </c>
      <c r="B14">
        <v>46</v>
      </c>
      <c r="C14">
        <v>48</v>
      </c>
    </row>
    <row r="15" spans="1:3" x14ac:dyDescent="0.35">
      <c r="A15" t="s">
        <v>43</v>
      </c>
      <c r="B15">
        <v>-11</v>
      </c>
      <c r="C15">
        <v>45</v>
      </c>
    </row>
    <row r="16" spans="1:3" x14ac:dyDescent="0.35">
      <c r="A16" t="s">
        <v>47</v>
      </c>
      <c r="B16">
        <v>-18</v>
      </c>
      <c r="C16">
        <v>40</v>
      </c>
    </row>
    <row r="17" spans="1:3" x14ac:dyDescent="0.35">
      <c r="A17" t="s">
        <v>61</v>
      </c>
      <c r="B17">
        <v>-62</v>
      </c>
      <c r="C17">
        <v>30</v>
      </c>
    </row>
    <row r="18" spans="1:3" x14ac:dyDescent="0.35">
      <c r="A18" t="s">
        <v>48</v>
      </c>
      <c r="B18">
        <v>20</v>
      </c>
      <c r="C18">
        <v>42</v>
      </c>
    </row>
    <row r="19" spans="1:3" x14ac:dyDescent="0.35">
      <c r="A19" t="s">
        <v>54</v>
      </c>
      <c r="B19">
        <v>-35</v>
      </c>
      <c r="C19">
        <v>35</v>
      </c>
    </row>
    <row r="20" spans="1:3" x14ac:dyDescent="0.35">
      <c r="A20" t="s">
        <v>53</v>
      </c>
      <c r="B20">
        <v>0</v>
      </c>
      <c r="C20">
        <v>39</v>
      </c>
    </row>
    <row r="21" spans="1:3" x14ac:dyDescent="0.35">
      <c r="A21" t="s">
        <v>44</v>
      </c>
      <c r="B21">
        <v>10</v>
      </c>
      <c r="C21">
        <v>45</v>
      </c>
    </row>
    <row r="22" spans="1:3" x14ac:dyDescent="0.35">
      <c r="A22" t="s">
        <v>60</v>
      </c>
      <c r="B22">
        <v>-51</v>
      </c>
      <c r="C22">
        <v>33</v>
      </c>
    </row>
    <row r="23" spans="1:3" x14ac:dyDescent="0.35">
      <c r="A23" t="s">
        <v>55</v>
      </c>
      <c r="B23">
        <v>-45</v>
      </c>
      <c r="C23">
        <v>34</v>
      </c>
    </row>
    <row r="24" spans="1:3" x14ac:dyDescent="0.35">
      <c r="A24" t="s">
        <v>63</v>
      </c>
      <c r="B24">
        <v>-102</v>
      </c>
      <c r="C24">
        <v>20</v>
      </c>
    </row>
    <row r="25" spans="1:3" x14ac:dyDescent="0.35">
      <c r="A25" t="s">
        <v>59</v>
      </c>
      <c r="B25">
        <v>-17</v>
      </c>
      <c r="C25">
        <v>35</v>
      </c>
    </row>
    <row r="26" spans="1:3" x14ac:dyDescent="0.35">
      <c r="A26" t="s">
        <v>46</v>
      </c>
      <c r="B26">
        <v>19</v>
      </c>
      <c r="C26">
        <v>44</v>
      </c>
    </row>
    <row r="27" spans="1:3" x14ac:dyDescent="0.35">
      <c r="A27" t="s">
        <v>38</v>
      </c>
      <c r="B27">
        <v>76</v>
      </c>
      <c r="C27">
        <v>47</v>
      </c>
    </row>
    <row r="28" spans="1:3" x14ac:dyDescent="0.35">
      <c r="A28" t="s">
        <v>35</v>
      </c>
      <c r="B28">
        <v>38</v>
      </c>
      <c r="C28">
        <v>52</v>
      </c>
    </row>
    <row r="29" spans="1:3" x14ac:dyDescent="0.35">
      <c r="A29" t="s">
        <v>51</v>
      </c>
      <c r="B29">
        <v>-7</v>
      </c>
      <c r="C29">
        <v>38</v>
      </c>
    </row>
    <row r="30" spans="1:3" x14ac:dyDescent="0.35">
      <c r="A30" t="s">
        <v>49</v>
      </c>
      <c r="B30">
        <v>-18</v>
      </c>
      <c r="C30">
        <v>38</v>
      </c>
    </row>
    <row r="31" spans="1:3" x14ac:dyDescent="0.35">
      <c r="A31" t="s">
        <v>34</v>
      </c>
      <c r="B31">
        <v>60</v>
      </c>
      <c r="C31">
        <v>50</v>
      </c>
    </row>
    <row r="32" spans="1:3" x14ac:dyDescent="0.35">
      <c r="A32" t="s">
        <v>33</v>
      </c>
      <c r="B32">
        <v>57</v>
      </c>
      <c r="C32">
        <v>51</v>
      </c>
    </row>
    <row r="33" spans="1:3" x14ac:dyDescent="0.35">
      <c r="A33" t="s">
        <v>32</v>
      </c>
      <c r="B33">
        <v>85</v>
      </c>
      <c r="C33">
        <v>56</v>
      </c>
    </row>
    <row r="34" spans="1:3" x14ac:dyDescent="0.35">
      <c r="A34" t="s">
        <v>66</v>
      </c>
      <c r="B34">
        <v>0</v>
      </c>
      <c r="C34">
        <v>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E648-7A04-4DDB-ABFF-0F85247407DB}">
  <dimension ref="A1:AG33"/>
  <sheetViews>
    <sheetView workbookViewId="0"/>
  </sheetViews>
  <sheetFormatPr defaultRowHeight="14.5" x14ac:dyDescent="0.35"/>
  <cols>
    <col min="2" max="2" width="19.54296875" bestFit="1" customWidth="1"/>
    <col min="3" max="3" width="10.453125" customWidth="1"/>
    <col min="9" max="9" width="9.90625" customWidth="1"/>
    <col min="12" max="12" width="12.26953125" bestFit="1" customWidth="1"/>
    <col min="21" max="21" width="9.08984375" customWidth="1"/>
    <col min="24" max="24" width="9" customWidth="1"/>
    <col min="28" max="28" width="9.54296875" customWidth="1"/>
    <col min="30" max="30" width="11.453125" customWidth="1"/>
    <col min="32" max="32" width="11.08984375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64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>
        <v>1</v>
      </c>
      <c r="B2" t="s">
        <v>32</v>
      </c>
      <c r="C2">
        <v>29.7</v>
      </c>
      <c r="D2">
        <v>82</v>
      </c>
      <c r="E2">
        <v>56</v>
      </c>
      <c r="F2">
        <v>22</v>
      </c>
      <c r="G2">
        <v>4</v>
      </c>
      <c r="H2">
        <v>116</v>
      </c>
      <c r="I2">
        <v>0.70699999999999996</v>
      </c>
      <c r="J2">
        <v>275</v>
      </c>
      <c r="K2">
        <v>190</v>
      </c>
      <c r="L2">
        <f>Table1[[#This Row],[GF]]-Table1[[#This Row],[GA]]</f>
        <v>85</v>
      </c>
      <c r="M2">
        <v>2</v>
      </c>
      <c r="N2">
        <v>1</v>
      </c>
      <c r="O2">
        <v>1.02</v>
      </c>
      <c r="P2">
        <v>-0.03</v>
      </c>
      <c r="Q2">
        <v>3.35</v>
      </c>
      <c r="R2">
        <v>2.3199999999999998</v>
      </c>
      <c r="S2">
        <v>63</v>
      </c>
      <c r="T2">
        <v>218</v>
      </c>
      <c r="U2">
        <v>28.9</v>
      </c>
      <c r="V2">
        <v>41</v>
      </c>
      <c r="W2">
        <v>199</v>
      </c>
      <c r="X2">
        <v>79.400000000000006</v>
      </c>
      <c r="Y2">
        <v>4</v>
      </c>
      <c r="Z2">
        <v>4</v>
      </c>
      <c r="AA2">
        <v>7.2</v>
      </c>
      <c r="AB2">
        <v>7.9</v>
      </c>
      <c r="AC2">
        <v>2314</v>
      </c>
      <c r="AD2">
        <v>11.9</v>
      </c>
      <c r="AE2">
        <v>2229</v>
      </c>
      <c r="AF2">
        <v>0.91500000000000004</v>
      </c>
      <c r="AG2">
        <v>10</v>
      </c>
    </row>
    <row r="3" spans="1:33" x14ac:dyDescent="0.35">
      <c r="A3">
        <v>2</v>
      </c>
      <c r="B3" t="s">
        <v>33</v>
      </c>
      <c r="C3">
        <v>29.5</v>
      </c>
      <c r="D3">
        <v>82</v>
      </c>
      <c r="E3">
        <v>51</v>
      </c>
      <c r="F3">
        <v>22</v>
      </c>
      <c r="G3">
        <v>9</v>
      </c>
      <c r="H3">
        <v>111</v>
      </c>
      <c r="I3">
        <v>0.67700000000000005</v>
      </c>
      <c r="J3">
        <v>286</v>
      </c>
      <c r="K3">
        <v>229</v>
      </c>
      <c r="L3">
        <f>Table1[[#This Row],[GF]]-Table1[[#This Row],[GA]]</f>
        <v>57</v>
      </c>
      <c r="M3">
        <v>2</v>
      </c>
      <c r="N3">
        <v>3</v>
      </c>
      <c r="O3">
        <v>0.66</v>
      </c>
      <c r="P3">
        <v>-0.03</v>
      </c>
      <c r="Q3">
        <v>3.49</v>
      </c>
      <c r="R3">
        <v>2.79</v>
      </c>
      <c r="S3">
        <v>52</v>
      </c>
      <c r="T3">
        <v>221</v>
      </c>
      <c r="U3">
        <v>23.53</v>
      </c>
      <c r="V3">
        <v>43</v>
      </c>
      <c r="W3">
        <v>239</v>
      </c>
      <c r="X3">
        <v>82.01</v>
      </c>
      <c r="Y3">
        <v>8</v>
      </c>
      <c r="Z3">
        <v>7</v>
      </c>
      <c r="AA3">
        <v>9.5</v>
      </c>
      <c r="AB3">
        <v>8.9</v>
      </c>
      <c r="AC3">
        <v>2265</v>
      </c>
      <c r="AD3">
        <v>12.6</v>
      </c>
      <c r="AE3">
        <v>2229</v>
      </c>
      <c r="AF3">
        <v>0.89700000000000002</v>
      </c>
      <c r="AG3">
        <v>3</v>
      </c>
    </row>
    <row r="4" spans="1:33" x14ac:dyDescent="0.35">
      <c r="A4">
        <v>3</v>
      </c>
      <c r="B4" t="s">
        <v>34</v>
      </c>
      <c r="C4">
        <v>29.4</v>
      </c>
      <c r="D4">
        <v>82</v>
      </c>
      <c r="E4">
        <v>50</v>
      </c>
      <c r="F4">
        <v>22</v>
      </c>
      <c r="G4">
        <v>10</v>
      </c>
      <c r="H4">
        <v>110</v>
      </c>
      <c r="I4">
        <v>0.67100000000000004</v>
      </c>
      <c r="J4">
        <v>274</v>
      </c>
      <c r="K4">
        <v>214</v>
      </c>
      <c r="L4">
        <f>Table1[[#This Row],[GF]]-Table1[[#This Row],[GA]]</f>
        <v>60</v>
      </c>
      <c r="M4">
        <v>1</v>
      </c>
      <c r="N4">
        <v>5</v>
      </c>
      <c r="O4">
        <v>0.65</v>
      </c>
      <c r="P4">
        <v>-0.03</v>
      </c>
      <c r="Q4">
        <v>3.34</v>
      </c>
      <c r="R4">
        <v>2.61</v>
      </c>
      <c r="S4">
        <v>53</v>
      </c>
      <c r="T4">
        <v>187</v>
      </c>
      <c r="U4">
        <v>28.34</v>
      </c>
      <c r="V4">
        <v>41</v>
      </c>
      <c r="W4">
        <v>169</v>
      </c>
      <c r="X4">
        <v>75.739999999999995</v>
      </c>
      <c r="Y4">
        <v>6</v>
      </c>
      <c r="Z4">
        <v>3</v>
      </c>
      <c r="AA4">
        <v>5.6</v>
      </c>
      <c r="AB4">
        <v>6.2</v>
      </c>
      <c r="AC4">
        <v>2482</v>
      </c>
      <c r="AD4">
        <v>11</v>
      </c>
      <c r="AE4">
        <v>2141</v>
      </c>
      <c r="AF4">
        <v>0.9</v>
      </c>
      <c r="AG4">
        <v>6</v>
      </c>
    </row>
    <row r="5" spans="1:33" x14ac:dyDescent="0.35">
      <c r="A5">
        <v>4</v>
      </c>
      <c r="B5" t="s">
        <v>35</v>
      </c>
      <c r="C5">
        <v>29.4</v>
      </c>
      <c r="D5">
        <v>82</v>
      </c>
      <c r="E5">
        <v>52</v>
      </c>
      <c r="F5">
        <v>26</v>
      </c>
      <c r="G5">
        <v>4</v>
      </c>
      <c r="H5">
        <v>108</v>
      </c>
      <c r="I5">
        <v>0.65900000000000003</v>
      </c>
      <c r="J5">
        <v>267</v>
      </c>
      <c r="K5">
        <v>229</v>
      </c>
      <c r="L5">
        <f>Table1[[#This Row],[GF]]-Table1[[#This Row],[GA]]</f>
        <v>38</v>
      </c>
      <c r="M5">
        <v>1</v>
      </c>
      <c r="N5">
        <v>2</v>
      </c>
      <c r="O5">
        <v>0.44</v>
      </c>
      <c r="P5">
        <v>-0.01</v>
      </c>
      <c r="Q5">
        <v>3.26</v>
      </c>
      <c r="R5">
        <v>2.79</v>
      </c>
      <c r="S5">
        <v>54</v>
      </c>
      <c r="T5">
        <v>218</v>
      </c>
      <c r="U5">
        <v>24.77</v>
      </c>
      <c r="V5">
        <v>52</v>
      </c>
      <c r="W5">
        <v>235</v>
      </c>
      <c r="X5">
        <v>77.87</v>
      </c>
      <c r="Y5">
        <v>6</v>
      </c>
      <c r="Z5">
        <v>7</v>
      </c>
      <c r="AA5">
        <v>8</v>
      </c>
      <c r="AB5">
        <v>7.5</v>
      </c>
      <c r="AC5">
        <v>2297</v>
      </c>
      <c r="AD5">
        <v>11.6</v>
      </c>
      <c r="AE5">
        <v>2405</v>
      </c>
      <c r="AF5">
        <v>0.90500000000000003</v>
      </c>
      <c r="AG5">
        <v>5</v>
      </c>
    </row>
    <row r="6" spans="1:33" x14ac:dyDescent="0.35">
      <c r="A6">
        <v>5</v>
      </c>
      <c r="B6" t="s">
        <v>36</v>
      </c>
      <c r="C6">
        <v>28.5</v>
      </c>
      <c r="D6">
        <v>82</v>
      </c>
      <c r="E6">
        <v>50</v>
      </c>
      <c r="F6">
        <v>26</v>
      </c>
      <c r="G6">
        <v>6</v>
      </c>
      <c r="H6">
        <v>106</v>
      </c>
      <c r="I6">
        <v>0.64600000000000002</v>
      </c>
      <c r="J6">
        <v>275</v>
      </c>
      <c r="K6">
        <v>222</v>
      </c>
      <c r="L6">
        <f>Table1[[#This Row],[GF]]-Table1[[#This Row],[GA]]</f>
        <v>53</v>
      </c>
      <c r="M6">
        <v>2</v>
      </c>
      <c r="N6">
        <v>2</v>
      </c>
      <c r="O6">
        <v>0.61</v>
      </c>
      <c r="P6">
        <v>-0.04</v>
      </c>
      <c r="Q6">
        <v>3.35</v>
      </c>
      <c r="R6">
        <v>2.71</v>
      </c>
      <c r="S6">
        <v>55</v>
      </c>
      <c r="T6">
        <v>250</v>
      </c>
      <c r="U6">
        <v>22</v>
      </c>
      <c r="V6">
        <v>41</v>
      </c>
      <c r="W6">
        <v>228</v>
      </c>
      <c r="X6">
        <v>82.02</v>
      </c>
      <c r="Y6">
        <v>8</v>
      </c>
      <c r="Z6">
        <v>4</v>
      </c>
      <c r="AA6">
        <v>7</v>
      </c>
      <c r="AB6">
        <v>7.8</v>
      </c>
      <c r="AC6">
        <v>2325</v>
      </c>
      <c r="AD6">
        <v>11.8</v>
      </c>
      <c r="AE6">
        <v>2382</v>
      </c>
      <c r="AF6">
        <v>0.90700000000000003</v>
      </c>
      <c r="AG6">
        <v>4</v>
      </c>
    </row>
    <row r="7" spans="1:33" x14ac:dyDescent="0.35">
      <c r="A7">
        <v>6</v>
      </c>
      <c r="B7" t="s">
        <v>37</v>
      </c>
      <c r="C7">
        <v>29.4</v>
      </c>
      <c r="D7">
        <v>82</v>
      </c>
      <c r="E7">
        <v>48</v>
      </c>
      <c r="F7">
        <v>25</v>
      </c>
      <c r="G7">
        <v>9</v>
      </c>
      <c r="H7">
        <v>105</v>
      </c>
      <c r="I7">
        <v>0.64</v>
      </c>
      <c r="J7">
        <v>249</v>
      </c>
      <c r="K7">
        <v>203</v>
      </c>
      <c r="L7">
        <f>Table1[[#This Row],[GF]]-Table1[[#This Row],[GA]]</f>
        <v>46</v>
      </c>
      <c r="M7">
        <v>1</v>
      </c>
      <c r="N7">
        <v>3</v>
      </c>
      <c r="O7">
        <v>0.5</v>
      </c>
      <c r="P7">
        <v>-0.04</v>
      </c>
      <c r="Q7">
        <v>3.04</v>
      </c>
      <c r="R7">
        <v>2.48</v>
      </c>
      <c r="S7">
        <v>37</v>
      </c>
      <c r="T7">
        <v>207</v>
      </c>
      <c r="U7">
        <v>17.87</v>
      </c>
      <c r="V7">
        <v>44</v>
      </c>
      <c r="W7">
        <v>237</v>
      </c>
      <c r="X7">
        <v>81.430000000000007</v>
      </c>
      <c r="Y7">
        <v>4</v>
      </c>
      <c r="Z7">
        <v>6</v>
      </c>
      <c r="AA7">
        <v>7.8</v>
      </c>
      <c r="AB7">
        <v>7.8</v>
      </c>
      <c r="AC7">
        <v>2302</v>
      </c>
      <c r="AD7">
        <v>10.8</v>
      </c>
      <c r="AE7">
        <v>2091</v>
      </c>
      <c r="AF7">
        <v>0.90300000000000002</v>
      </c>
      <c r="AG7">
        <v>6</v>
      </c>
    </row>
    <row r="8" spans="1:33" x14ac:dyDescent="0.35">
      <c r="A8">
        <v>7</v>
      </c>
      <c r="B8" t="s">
        <v>38</v>
      </c>
      <c r="C8">
        <v>29.7</v>
      </c>
      <c r="D8">
        <v>82</v>
      </c>
      <c r="E8">
        <v>47</v>
      </c>
      <c r="F8">
        <v>27</v>
      </c>
      <c r="G8">
        <v>8</v>
      </c>
      <c r="H8">
        <v>102</v>
      </c>
      <c r="I8">
        <v>0.622</v>
      </c>
      <c r="J8">
        <v>292</v>
      </c>
      <c r="K8">
        <v>216</v>
      </c>
      <c r="L8">
        <f>Table1[[#This Row],[GF]]-Table1[[#This Row],[GA]]</f>
        <v>76</v>
      </c>
      <c r="M8">
        <v>2</v>
      </c>
      <c r="N8">
        <v>3</v>
      </c>
      <c r="O8">
        <v>0.89</v>
      </c>
      <c r="P8">
        <v>-0.03</v>
      </c>
      <c r="Q8">
        <v>3.56</v>
      </c>
      <c r="R8">
        <v>2.63</v>
      </c>
      <c r="S8">
        <v>60</v>
      </c>
      <c r="T8">
        <v>232</v>
      </c>
      <c r="U8">
        <v>25.86</v>
      </c>
      <c r="V8">
        <v>38</v>
      </c>
      <c r="W8">
        <v>206</v>
      </c>
      <c r="X8">
        <v>81.55</v>
      </c>
      <c r="Y8">
        <v>11</v>
      </c>
      <c r="Z8">
        <v>13</v>
      </c>
      <c r="AA8">
        <v>8.1</v>
      </c>
      <c r="AB8">
        <v>9.3000000000000007</v>
      </c>
      <c r="AC8">
        <v>2341</v>
      </c>
      <c r="AD8">
        <v>12.5</v>
      </c>
      <c r="AE8">
        <v>2311</v>
      </c>
      <c r="AF8">
        <v>0.90700000000000003</v>
      </c>
      <c r="AG8">
        <v>7</v>
      </c>
    </row>
    <row r="9" spans="1:33" x14ac:dyDescent="0.35">
      <c r="A9">
        <v>8</v>
      </c>
      <c r="B9" t="s">
        <v>39</v>
      </c>
      <c r="C9">
        <v>28.7</v>
      </c>
      <c r="D9">
        <v>82</v>
      </c>
      <c r="E9">
        <v>49</v>
      </c>
      <c r="F9">
        <v>29</v>
      </c>
      <c r="G9">
        <v>4</v>
      </c>
      <c r="H9">
        <v>102</v>
      </c>
      <c r="I9">
        <v>0.622</v>
      </c>
      <c r="J9">
        <v>273</v>
      </c>
      <c r="K9">
        <v>231</v>
      </c>
      <c r="L9">
        <f>Table1[[#This Row],[GF]]-Table1[[#This Row],[GA]]</f>
        <v>42</v>
      </c>
      <c r="M9">
        <v>4</v>
      </c>
      <c r="N9">
        <v>3</v>
      </c>
      <c r="O9">
        <v>0.5</v>
      </c>
      <c r="P9">
        <v>-0.03</v>
      </c>
      <c r="Q9">
        <v>3.33</v>
      </c>
      <c r="R9">
        <v>2.82</v>
      </c>
      <c r="S9">
        <v>58</v>
      </c>
      <c r="T9">
        <v>234</v>
      </c>
      <c r="U9">
        <v>24.79</v>
      </c>
      <c r="V9">
        <v>42</v>
      </c>
      <c r="W9">
        <v>208</v>
      </c>
      <c r="X9">
        <v>79.81</v>
      </c>
      <c r="Y9">
        <v>5</v>
      </c>
      <c r="Z9">
        <v>7</v>
      </c>
      <c r="AA9">
        <v>6.8</v>
      </c>
      <c r="AB9">
        <v>7.2</v>
      </c>
      <c r="AC9">
        <v>2451</v>
      </c>
      <c r="AD9">
        <v>11.1</v>
      </c>
      <c r="AE9">
        <v>2126</v>
      </c>
      <c r="AF9">
        <v>0.89100000000000001</v>
      </c>
      <c r="AG9">
        <v>5</v>
      </c>
    </row>
    <row r="10" spans="1:33" x14ac:dyDescent="0.35">
      <c r="A10">
        <v>9</v>
      </c>
      <c r="B10" t="s">
        <v>40</v>
      </c>
      <c r="C10">
        <v>30.4</v>
      </c>
      <c r="D10">
        <v>82</v>
      </c>
      <c r="E10">
        <v>48</v>
      </c>
      <c r="F10">
        <v>29</v>
      </c>
      <c r="G10">
        <v>5</v>
      </c>
      <c r="H10">
        <v>101</v>
      </c>
      <c r="I10">
        <v>0.61599999999999999</v>
      </c>
      <c r="J10">
        <v>259</v>
      </c>
      <c r="K10">
        <v>235</v>
      </c>
      <c r="L10">
        <f>Table1[[#This Row],[GF]]-Table1[[#This Row],[GA]]</f>
        <v>24</v>
      </c>
      <c r="M10">
        <v>0</v>
      </c>
      <c r="N10">
        <v>1</v>
      </c>
      <c r="O10">
        <v>0.26</v>
      </c>
      <c r="P10">
        <v>-0.02</v>
      </c>
      <c r="Q10">
        <v>3.16</v>
      </c>
      <c r="R10">
        <v>2.87</v>
      </c>
      <c r="S10">
        <v>51</v>
      </c>
      <c r="T10">
        <v>215</v>
      </c>
      <c r="U10">
        <v>23.72</v>
      </c>
      <c r="V10">
        <v>45</v>
      </c>
      <c r="W10">
        <v>206</v>
      </c>
      <c r="X10">
        <v>78.16</v>
      </c>
      <c r="Y10">
        <v>5</v>
      </c>
      <c r="Z10">
        <v>4</v>
      </c>
      <c r="AA10">
        <v>7.5</v>
      </c>
      <c r="AB10">
        <v>7.6</v>
      </c>
      <c r="AC10">
        <v>2622</v>
      </c>
      <c r="AD10">
        <v>9.9</v>
      </c>
      <c r="AE10">
        <v>2211</v>
      </c>
      <c r="AF10">
        <v>0.89400000000000002</v>
      </c>
      <c r="AG10">
        <v>4</v>
      </c>
    </row>
    <row r="11" spans="1:33" x14ac:dyDescent="0.35">
      <c r="A11">
        <v>10</v>
      </c>
      <c r="B11" t="s">
        <v>41</v>
      </c>
      <c r="C11">
        <v>29.6</v>
      </c>
      <c r="D11">
        <v>82</v>
      </c>
      <c r="E11">
        <v>47</v>
      </c>
      <c r="F11">
        <v>30</v>
      </c>
      <c r="G11">
        <v>5</v>
      </c>
      <c r="H11">
        <v>99</v>
      </c>
      <c r="I11">
        <v>0.60399999999999998</v>
      </c>
      <c r="J11">
        <v>266</v>
      </c>
      <c r="K11">
        <v>230</v>
      </c>
      <c r="L11">
        <f>Table1[[#This Row],[GF]]-Table1[[#This Row],[GA]]</f>
        <v>36</v>
      </c>
      <c r="M11">
        <v>0</v>
      </c>
      <c r="N11">
        <v>3</v>
      </c>
      <c r="O11">
        <v>0.4</v>
      </c>
      <c r="P11">
        <v>0</v>
      </c>
      <c r="Q11">
        <v>3.24</v>
      </c>
      <c r="R11">
        <v>2.8</v>
      </c>
      <c r="S11">
        <v>46</v>
      </c>
      <c r="T11">
        <v>246</v>
      </c>
      <c r="U11">
        <v>18.7</v>
      </c>
      <c r="V11">
        <v>40</v>
      </c>
      <c r="W11">
        <v>244</v>
      </c>
      <c r="X11">
        <v>83.61</v>
      </c>
      <c r="Y11">
        <v>10</v>
      </c>
      <c r="Z11">
        <v>5</v>
      </c>
      <c r="AA11">
        <v>7.9</v>
      </c>
      <c r="AB11">
        <v>8.1</v>
      </c>
      <c r="AC11">
        <v>2599</v>
      </c>
      <c r="AD11">
        <v>10.199999999999999</v>
      </c>
      <c r="AE11">
        <v>2044</v>
      </c>
      <c r="AF11">
        <v>0.88700000000000001</v>
      </c>
      <c r="AG11">
        <v>5</v>
      </c>
    </row>
    <row r="12" spans="1:33" x14ac:dyDescent="0.35">
      <c r="A12">
        <v>11</v>
      </c>
      <c r="B12" t="s">
        <v>42</v>
      </c>
      <c r="C12">
        <v>29.6</v>
      </c>
      <c r="D12">
        <v>82</v>
      </c>
      <c r="E12">
        <v>47</v>
      </c>
      <c r="F12">
        <v>31</v>
      </c>
      <c r="G12">
        <v>4</v>
      </c>
      <c r="H12">
        <v>98</v>
      </c>
      <c r="I12">
        <v>0.59799999999999998</v>
      </c>
      <c r="J12">
        <v>246</v>
      </c>
      <c r="K12">
        <v>223</v>
      </c>
      <c r="L12">
        <f>Table1[[#This Row],[GF]]-Table1[[#This Row],[GA]]</f>
        <v>23</v>
      </c>
      <c r="M12">
        <v>6</v>
      </c>
      <c r="N12">
        <v>0</v>
      </c>
      <c r="O12">
        <v>0.35</v>
      </c>
      <c r="P12">
        <v>-0.01</v>
      </c>
      <c r="Q12">
        <v>3</v>
      </c>
      <c r="R12">
        <v>2.72</v>
      </c>
      <c r="S12">
        <v>56</v>
      </c>
      <c r="T12">
        <v>238</v>
      </c>
      <c r="U12">
        <v>23.53</v>
      </c>
      <c r="V12">
        <v>47</v>
      </c>
      <c r="W12">
        <v>244</v>
      </c>
      <c r="X12">
        <v>80.739999999999995</v>
      </c>
      <c r="Y12">
        <v>12</v>
      </c>
      <c r="Z12">
        <v>10</v>
      </c>
      <c r="AA12">
        <v>10.4</v>
      </c>
      <c r="AB12">
        <v>9.5</v>
      </c>
      <c r="AC12">
        <v>2588</v>
      </c>
      <c r="AD12">
        <v>9.5</v>
      </c>
      <c r="AE12">
        <v>2146</v>
      </c>
      <c r="AF12">
        <v>0.89600000000000002</v>
      </c>
      <c r="AG12">
        <v>8</v>
      </c>
    </row>
    <row r="13" spans="1:33" x14ac:dyDescent="0.35">
      <c r="A13">
        <v>12</v>
      </c>
      <c r="B13" t="s">
        <v>43</v>
      </c>
      <c r="C13">
        <v>29.7</v>
      </c>
      <c r="D13">
        <v>82</v>
      </c>
      <c r="E13">
        <v>45</v>
      </c>
      <c r="F13">
        <v>30</v>
      </c>
      <c r="G13">
        <v>7</v>
      </c>
      <c r="H13">
        <v>97</v>
      </c>
      <c r="I13">
        <v>0.59099999999999997</v>
      </c>
      <c r="J13">
        <v>225</v>
      </c>
      <c r="K13">
        <v>236</v>
      </c>
      <c r="L13">
        <f>Table1[[#This Row],[GF]]-Table1[[#This Row],[GA]]</f>
        <v>-11</v>
      </c>
      <c r="M13">
        <v>3</v>
      </c>
      <c r="N13">
        <v>3</v>
      </c>
      <c r="O13">
        <v>-0.13</v>
      </c>
      <c r="P13">
        <v>0.01</v>
      </c>
      <c r="Q13">
        <v>2.74</v>
      </c>
      <c r="R13">
        <v>2.88</v>
      </c>
      <c r="S13">
        <v>43</v>
      </c>
      <c r="T13">
        <v>206</v>
      </c>
      <c r="U13">
        <v>20.87</v>
      </c>
      <c r="V13">
        <v>56</v>
      </c>
      <c r="W13">
        <v>203</v>
      </c>
      <c r="X13">
        <v>72.41</v>
      </c>
      <c r="Y13">
        <v>4</v>
      </c>
      <c r="Z13">
        <v>4</v>
      </c>
      <c r="AA13">
        <v>7.6</v>
      </c>
      <c r="AB13">
        <v>7.5</v>
      </c>
      <c r="AC13">
        <v>2263</v>
      </c>
      <c r="AD13">
        <v>9.9</v>
      </c>
      <c r="AE13">
        <v>2427</v>
      </c>
      <c r="AF13">
        <v>0.90300000000000002</v>
      </c>
      <c r="AG13">
        <v>6</v>
      </c>
    </row>
    <row r="14" spans="1:33" x14ac:dyDescent="0.35">
      <c r="A14">
        <v>13</v>
      </c>
      <c r="B14" t="s">
        <v>44</v>
      </c>
      <c r="C14">
        <v>28.2</v>
      </c>
      <c r="D14">
        <v>82</v>
      </c>
      <c r="E14">
        <v>45</v>
      </c>
      <c r="F14">
        <v>30</v>
      </c>
      <c r="G14">
        <v>7</v>
      </c>
      <c r="H14">
        <v>97</v>
      </c>
      <c r="I14">
        <v>0.59099999999999997</v>
      </c>
      <c r="J14">
        <v>242</v>
      </c>
      <c r="K14">
        <v>232</v>
      </c>
      <c r="L14">
        <f>Table1[[#This Row],[GF]]-Table1[[#This Row],[GA]]</f>
        <v>10</v>
      </c>
      <c r="M14">
        <v>1</v>
      </c>
      <c r="N14">
        <v>2</v>
      </c>
      <c r="O14">
        <v>0.11</v>
      </c>
      <c r="P14">
        <v>-0.01</v>
      </c>
      <c r="Q14">
        <v>2.95</v>
      </c>
      <c r="R14">
        <v>2.83</v>
      </c>
      <c r="S14">
        <v>64</v>
      </c>
      <c r="T14">
        <v>269</v>
      </c>
      <c r="U14">
        <v>23.79</v>
      </c>
      <c r="V14">
        <v>51</v>
      </c>
      <c r="W14">
        <v>229</v>
      </c>
      <c r="X14">
        <v>77.73</v>
      </c>
      <c r="Y14">
        <v>9</v>
      </c>
      <c r="Z14">
        <v>3</v>
      </c>
      <c r="AA14">
        <v>8.5</v>
      </c>
      <c r="AB14">
        <v>10</v>
      </c>
      <c r="AC14">
        <v>2403</v>
      </c>
      <c r="AD14">
        <v>10.1</v>
      </c>
      <c r="AE14">
        <v>2346</v>
      </c>
      <c r="AF14">
        <v>0.90100000000000002</v>
      </c>
      <c r="AG14">
        <v>10</v>
      </c>
    </row>
    <row r="15" spans="1:33" x14ac:dyDescent="0.35">
      <c r="A15">
        <v>14</v>
      </c>
      <c r="B15" t="s">
        <v>45</v>
      </c>
      <c r="C15">
        <v>28.4</v>
      </c>
      <c r="D15">
        <v>82</v>
      </c>
      <c r="E15">
        <v>41</v>
      </c>
      <c r="F15">
        <v>27</v>
      </c>
      <c r="G15">
        <v>14</v>
      </c>
      <c r="H15">
        <v>96</v>
      </c>
      <c r="I15">
        <v>0.58499999999999996</v>
      </c>
      <c r="J15">
        <v>220</v>
      </c>
      <c r="K15">
        <v>236</v>
      </c>
      <c r="L15">
        <f>Table1[[#This Row],[GF]]-Table1[[#This Row],[GA]]</f>
        <v>-16</v>
      </c>
      <c r="M15">
        <v>5</v>
      </c>
      <c r="N15">
        <v>2</v>
      </c>
      <c r="O15">
        <v>-0.17</v>
      </c>
      <c r="P15">
        <v>-0.02</v>
      </c>
      <c r="Q15">
        <v>2.68</v>
      </c>
      <c r="R15">
        <v>2.88</v>
      </c>
      <c r="S15">
        <v>49</v>
      </c>
      <c r="T15">
        <v>233</v>
      </c>
      <c r="U15">
        <v>21.03</v>
      </c>
      <c r="V15">
        <v>54</v>
      </c>
      <c r="W15">
        <v>226</v>
      </c>
      <c r="X15">
        <v>76.11</v>
      </c>
      <c r="Y15">
        <v>7</v>
      </c>
      <c r="Z15">
        <v>6</v>
      </c>
      <c r="AA15">
        <v>9.1999999999999993</v>
      </c>
      <c r="AB15">
        <v>9.6</v>
      </c>
      <c r="AC15">
        <v>2414</v>
      </c>
      <c r="AD15">
        <v>9.1</v>
      </c>
      <c r="AE15">
        <v>2372</v>
      </c>
      <c r="AF15">
        <v>0.90100000000000002</v>
      </c>
      <c r="AG15">
        <v>5</v>
      </c>
    </row>
    <row r="16" spans="1:33" x14ac:dyDescent="0.35">
      <c r="A16">
        <v>15</v>
      </c>
      <c r="B16" t="s">
        <v>46</v>
      </c>
      <c r="C16">
        <v>29.3</v>
      </c>
      <c r="D16">
        <v>82</v>
      </c>
      <c r="E16">
        <v>44</v>
      </c>
      <c r="F16">
        <v>30</v>
      </c>
      <c r="G16">
        <v>8</v>
      </c>
      <c r="H16">
        <v>96</v>
      </c>
      <c r="I16">
        <v>0.58499999999999996</v>
      </c>
      <c r="J16">
        <v>250</v>
      </c>
      <c r="K16">
        <v>231</v>
      </c>
      <c r="L16">
        <f>Table1[[#This Row],[GF]]-Table1[[#This Row],[GA]]</f>
        <v>19</v>
      </c>
      <c r="M16">
        <v>4</v>
      </c>
      <c r="N16">
        <v>2</v>
      </c>
      <c r="O16">
        <v>0.25</v>
      </c>
      <c r="P16">
        <v>-0.01</v>
      </c>
      <c r="Q16">
        <v>3.05</v>
      </c>
      <c r="R16">
        <v>2.82</v>
      </c>
      <c r="S16">
        <v>43</v>
      </c>
      <c r="T16">
        <v>195</v>
      </c>
      <c r="U16">
        <v>22.05</v>
      </c>
      <c r="V16">
        <v>49</v>
      </c>
      <c r="W16">
        <v>191</v>
      </c>
      <c r="X16">
        <v>74.349999999999994</v>
      </c>
      <c r="Y16">
        <v>4</v>
      </c>
      <c r="Z16">
        <v>5</v>
      </c>
      <c r="AA16">
        <v>7.5</v>
      </c>
      <c r="AB16">
        <v>8.1999999999999993</v>
      </c>
      <c r="AC16">
        <v>2185</v>
      </c>
      <c r="AD16">
        <v>11.4</v>
      </c>
      <c r="AE16">
        <v>2236</v>
      </c>
      <c r="AF16">
        <v>0.89700000000000002</v>
      </c>
      <c r="AG16">
        <v>4</v>
      </c>
    </row>
    <row r="17" spans="1:33" x14ac:dyDescent="0.35">
      <c r="A17">
        <v>16</v>
      </c>
      <c r="B17" t="s">
        <v>47</v>
      </c>
      <c r="C17">
        <v>26.9</v>
      </c>
      <c r="D17">
        <v>82</v>
      </c>
      <c r="E17">
        <v>40</v>
      </c>
      <c r="F17">
        <v>31</v>
      </c>
      <c r="G17">
        <v>11</v>
      </c>
      <c r="H17">
        <v>91</v>
      </c>
      <c r="I17">
        <v>0.55500000000000005</v>
      </c>
      <c r="J17">
        <v>243</v>
      </c>
      <c r="K17">
        <v>261</v>
      </c>
      <c r="L17">
        <f>Table1[[#This Row],[GF]]-Table1[[#This Row],[GA]]</f>
        <v>-18</v>
      </c>
      <c r="M17">
        <v>2</v>
      </c>
      <c r="N17">
        <v>4</v>
      </c>
      <c r="O17">
        <v>-0.23</v>
      </c>
      <c r="P17">
        <v>0.02</v>
      </c>
      <c r="Q17">
        <v>2.96</v>
      </c>
      <c r="R17">
        <v>3.18</v>
      </c>
      <c r="S17">
        <v>47</v>
      </c>
      <c r="T17">
        <v>234</v>
      </c>
      <c r="U17">
        <v>20.09</v>
      </c>
      <c r="V17">
        <v>49</v>
      </c>
      <c r="W17">
        <v>257</v>
      </c>
      <c r="X17">
        <v>80.930000000000007</v>
      </c>
      <c r="Y17">
        <v>9</v>
      </c>
      <c r="Z17">
        <v>6</v>
      </c>
      <c r="AA17">
        <v>9.3000000000000007</v>
      </c>
      <c r="AB17">
        <v>8.3000000000000007</v>
      </c>
      <c r="AC17">
        <v>2095</v>
      </c>
      <c r="AD17">
        <v>11.6</v>
      </c>
      <c r="AE17">
        <v>2383</v>
      </c>
      <c r="AF17">
        <v>0.89</v>
      </c>
      <c r="AG17">
        <v>5</v>
      </c>
    </row>
    <row r="18" spans="1:33" x14ac:dyDescent="0.35">
      <c r="A18">
        <v>17</v>
      </c>
      <c r="B18" t="s">
        <v>48</v>
      </c>
      <c r="C18">
        <v>29.6</v>
      </c>
      <c r="D18">
        <v>82</v>
      </c>
      <c r="E18">
        <v>42</v>
      </c>
      <c r="F18">
        <v>33</v>
      </c>
      <c r="G18">
        <v>7</v>
      </c>
      <c r="H18">
        <v>91</v>
      </c>
      <c r="I18">
        <v>0.55500000000000005</v>
      </c>
      <c r="J18">
        <v>240</v>
      </c>
      <c r="K18">
        <v>220</v>
      </c>
      <c r="L18">
        <f>Table1[[#This Row],[GF]]-Table1[[#This Row],[GA]]</f>
        <v>20</v>
      </c>
      <c r="M18">
        <v>2</v>
      </c>
      <c r="N18">
        <v>2</v>
      </c>
      <c r="O18">
        <v>0.24</v>
      </c>
      <c r="P18">
        <v>-0.01</v>
      </c>
      <c r="Q18">
        <v>2.93</v>
      </c>
      <c r="R18">
        <v>2.68</v>
      </c>
      <c r="S18">
        <v>61</v>
      </c>
      <c r="T18">
        <v>216</v>
      </c>
      <c r="U18">
        <v>28.24</v>
      </c>
      <c r="V18">
        <v>39</v>
      </c>
      <c r="W18">
        <v>225</v>
      </c>
      <c r="X18">
        <v>82.67</v>
      </c>
      <c r="Y18">
        <v>7</v>
      </c>
      <c r="Z18">
        <v>4</v>
      </c>
      <c r="AA18">
        <v>8.4</v>
      </c>
      <c r="AB18">
        <v>7.5</v>
      </c>
      <c r="AC18">
        <v>2303</v>
      </c>
      <c r="AD18">
        <v>10.4</v>
      </c>
      <c r="AE18">
        <v>2160</v>
      </c>
      <c r="AF18">
        <v>0.89800000000000002</v>
      </c>
      <c r="AG18">
        <v>9</v>
      </c>
    </row>
    <row r="19" spans="1:33" x14ac:dyDescent="0.35">
      <c r="A19">
        <v>18</v>
      </c>
      <c r="B19" t="s">
        <v>49</v>
      </c>
      <c r="C19">
        <v>28.6</v>
      </c>
      <c r="D19">
        <v>82</v>
      </c>
      <c r="E19">
        <v>38</v>
      </c>
      <c r="F19">
        <v>30</v>
      </c>
      <c r="G19">
        <v>14</v>
      </c>
      <c r="H19">
        <v>90</v>
      </c>
      <c r="I19">
        <v>0.54900000000000004</v>
      </c>
      <c r="J19">
        <v>233</v>
      </c>
      <c r="K19">
        <v>251</v>
      </c>
      <c r="L19">
        <f>Table1[[#This Row],[GF]]-Table1[[#This Row],[GA]]</f>
        <v>-18</v>
      </c>
      <c r="M19">
        <v>3</v>
      </c>
      <c r="N19">
        <v>2</v>
      </c>
      <c r="O19">
        <v>-0.22</v>
      </c>
      <c r="P19">
        <v>-0.01</v>
      </c>
      <c r="Q19">
        <v>2.84</v>
      </c>
      <c r="R19">
        <v>3.06</v>
      </c>
      <c r="S19">
        <v>50</v>
      </c>
      <c r="T19">
        <v>222</v>
      </c>
      <c r="U19">
        <v>22.52</v>
      </c>
      <c r="V19">
        <v>39</v>
      </c>
      <c r="W19">
        <v>224</v>
      </c>
      <c r="X19">
        <v>82.59</v>
      </c>
      <c r="Y19">
        <v>4</v>
      </c>
      <c r="Z19">
        <v>7</v>
      </c>
      <c r="AA19">
        <v>9.3000000000000007</v>
      </c>
      <c r="AB19">
        <v>9.1</v>
      </c>
      <c r="AC19">
        <v>2094</v>
      </c>
      <c r="AD19">
        <v>11.1</v>
      </c>
      <c r="AE19">
        <v>2198</v>
      </c>
      <c r="AF19">
        <v>0.88600000000000001</v>
      </c>
      <c r="AG19">
        <v>5</v>
      </c>
    </row>
    <row r="20" spans="1:33" x14ac:dyDescent="0.35">
      <c r="A20">
        <v>19</v>
      </c>
      <c r="B20" t="s">
        <v>50</v>
      </c>
      <c r="C20">
        <v>27.6</v>
      </c>
      <c r="D20">
        <v>82</v>
      </c>
      <c r="E20">
        <v>40</v>
      </c>
      <c r="F20">
        <v>33</v>
      </c>
      <c r="G20">
        <v>9</v>
      </c>
      <c r="H20">
        <v>89</v>
      </c>
      <c r="I20">
        <v>0.54300000000000004</v>
      </c>
      <c r="J20">
        <v>267</v>
      </c>
      <c r="K20">
        <v>267</v>
      </c>
      <c r="L20">
        <f>Table1[[#This Row],[GF]]-Table1[[#This Row],[GA]]</f>
        <v>0</v>
      </c>
      <c r="M20">
        <v>6</v>
      </c>
      <c r="N20">
        <v>1</v>
      </c>
      <c r="O20">
        <v>0.06</v>
      </c>
      <c r="P20">
        <v>0</v>
      </c>
      <c r="Q20">
        <v>3.26</v>
      </c>
      <c r="R20">
        <v>3.26</v>
      </c>
      <c r="S20">
        <v>36</v>
      </c>
      <c r="T20">
        <v>185</v>
      </c>
      <c r="U20">
        <v>19.46</v>
      </c>
      <c r="V20">
        <v>50</v>
      </c>
      <c r="W20">
        <v>217</v>
      </c>
      <c r="X20">
        <v>76.959999999999994</v>
      </c>
      <c r="Y20">
        <v>9</v>
      </c>
      <c r="Z20">
        <v>7</v>
      </c>
      <c r="AA20">
        <v>8.1999999999999993</v>
      </c>
      <c r="AB20">
        <v>7.5</v>
      </c>
      <c r="AC20">
        <v>2382</v>
      </c>
      <c r="AD20">
        <v>11.2</v>
      </c>
      <c r="AE20">
        <v>2453</v>
      </c>
      <c r="AF20">
        <v>0.89100000000000001</v>
      </c>
      <c r="AG20">
        <v>4</v>
      </c>
    </row>
    <row r="21" spans="1:33" x14ac:dyDescent="0.35">
      <c r="A21">
        <v>20</v>
      </c>
      <c r="B21" t="s">
        <v>51</v>
      </c>
      <c r="C21">
        <v>27.7</v>
      </c>
      <c r="D21">
        <v>82</v>
      </c>
      <c r="E21">
        <v>38</v>
      </c>
      <c r="F21">
        <v>31</v>
      </c>
      <c r="G21">
        <v>13</v>
      </c>
      <c r="H21">
        <v>89</v>
      </c>
      <c r="I21">
        <v>0.54300000000000004</v>
      </c>
      <c r="J21">
        <v>240</v>
      </c>
      <c r="K21">
        <v>247</v>
      </c>
      <c r="L21">
        <f>Table1[[#This Row],[GF]]-Table1[[#This Row],[GA]]</f>
        <v>-7</v>
      </c>
      <c r="M21">
        <v>1</v>
      </c>
      <c r="N21">
        <v>4</v>
      </c>
      <c r="O21">
        <v>-0.11</v>
      </c>
      <c r="P21">
        <v>0.01</v>
      </c>
      <c r="Q21">
        <v>2.93</v>
      </c>
      <c r="R21">
        <v>3.01</v>
      </c>
      <c r="S21">
        <v>57</v>
      </c>
      <c r="T21">
        <v>236</v>
      </c>
      <c r="U21">
        <v>24.15</v>
      </c>
      <c r="V21">
        <v>52</v>
      </c>
      <c r="W21">
        <v>251</v>
      </c>
      <c r="X21">
        <v>79.28</v>
      </c>
      <c r="Y21">
        <v>4</v>
      </c>
      <c r="Z21">
        <v>8</v>
      </c>
      <c r="AA21">
        <v>9.6</v>
      </c>
      <c r="AB21">
        <v>9.5</v>
      </c>
      <c r="AC21">
        <v>2339</v>
      </c>
      <c r="AD21">
        <v>10.3</v>
      </c>
      <c r="AE21">
        <v>2271</v>
      </c>
      <c r="AF21">
        <v>0.89100000000000001</v>
      </c>
      <c r="AG21">
        <v>2</v>
      </c>
    </row>
    <row r="22" spans="1:33" x14ac:dyDescent="0.35">
      <c r="A22">
        <v>21</v>
      </c>
      <c r="B22" t="s">
        <v>52</v>
      </c>
      <c r="C22">
        <v>29.5</v>
      </c>
      <c r="D22">
        <v>82</v>
      </c>
      <c r="E22">
        <v>39</v>
      </c>
      <c r="F22">
        <v>35</v>
      </c>
      <c r="G22">
        <v>8</v>
      </c>
      <c r="H22">
        <v>86</v>
      </c>
      <c r="I22">
        <v>0.52400000000000002</v>
      </c>
      <c r="J22">
        <v>235</v>
      </c>
      <c r="K22">
        <v>259</v>
      </c>
      <c r="L22">
        <f>Table1[[#This Row],[GF]]-Table1[[#This Row],[GA]]</f>
        <v>-24</v>
      </c>
      <c r="M22">
        <v>3</v>
      </c>
      <c r="N22">
        <v>0</v>
      </c>
      <c r="O22">
        <v>-0.23</v>
      </c>
      <c r="P22">
        <v>0.02</v>
      </c>
      <c r="Q22">
        <v>2.87</v>
      </c>
      <c r="R22">
        <v>3.16</v>
      </c>
      <c r="S22">
        <v>64</v>
      </c>
      <c r="T22">
        <v>237</v>
      </c>
      <c r="U22">
        <v>27</v>
      </c>
      <c r="V22">
        <v>55</v>
      </c>
      <c r="W22">
        <v>184</v>
      </c>
      <c r="X22">
        <v>70.11</v>
      </c>
      <c r="Y22">
        <v>2</v>
      </c>
      <c r="Z22">
        <v>7</v>
      </c>
      <c r="AA22">
        <v>6.8</v>
      </c>
      <c r="AB22">
        <v>8.1999999999999993</v>
      </c>
      <c r="AC22">
        <v>2249</v>
      </c>
      <c r="AD22">
        <v>10.4</v>
      </c>
      <c r="AE22">
        <v>2335</v>
      </c>
      <c r="AF22">
        <v>0.88900000000000001</v>
      </c>
      <c r="AG22">
        <v>4</v>
      </c>
    </row>
    <row r="23" spans="1:33" x14ac:dyDescent="0.35">
      <c r="A23">
        <v>22</v>
      </c>
      <c r="B23" t="s">
        <v>53</v>
      </c>
      <c r="C23">
        <v>28.9</v>
      </c>
      <c r="D23">
        <v>82</v>
      </c>
      <c r="E23">
        <v>39</v>
      </c>
      <c r="F23">
        <v>36</v>
      </c>
      <c r="G23">
        <v>7</v>
      </c>
      <c r="H23">
        <v>85</v>
      </c>
      <c r="I23">
        <v>0.51800000000000002</v>
      </c>
      <c r="J23">
        <v>255</v>
      </c>
      <c r="K23">
        <v>255</v>
      </c>
      <c r="L23">
        <f>Table1[[#This Row],[GF]]-Table1[[#This Row],[GA]]</f>
        <v>0</v>
      </c>
      <c r="M23">
        <v>1</v>
      </c>
      <c r="N23">
        <v>0</v>
      </c>
      <c r="O23">
        <v>0.01</v>
      </c>
      <c r="P23">
        <v>0</v>
      </c>
      <c r="Q23">
        <v>3.11</v>
      </c>
      <c r="R23">
        <v>3.11</v>
      </c>
      <c r="S23">
        <v>37</v>
      </c>
      <c r="T23">
        <v>210</v>
      </c>
      <c r="U23">
        <v>17.62</v>
      </c>
      <c r="V23">
        <v>47</v>
      </c>
      <c r="W23">
        <v>239</v>
      </c>
      <c r="X23">
        <v>80.33</v>
      </c>
      <c r="Y23">
        <v>18</v>
      </c>
      <c r="Z23">
        <v>7</v>
      </c>
      <c r="AA23">
        <v>8.4</v>
      </c>
      <c r="AB23">
        <v>7.6</v>
      </c>
      <c r="AC23">
        <v>2344</v>
      </c>
      <c r="AD23">
        <v>10.9</v>
      </c>
      <c r="AE23">
        <v>2451</v>
      </c>
      <c r="AF23">
        <v>0.89600000000000002</v>
      </c>
      <c r="AG23">
        <v>9</v>
      </c>
    </row>
    <row r="24" spans="1:33" x14ac:dyDescent="0.35">
      <c r="A24">
        <v>23</v>
      </c>
      <c r="B24" t="s">
        <v>54</v>
      </c>
      <c r="C24">
        <v>29.7</v>
      </c>
      <c r="D24">
        <v>82</v>
      </c>
      <c r="E24">
        <v>35</v>
      </c>
      <c r="F24">
        <v>35</v>
      </c>
      <c r="G24">
        <v>12</v>
      </c>
      <c r="H24">
        <v>82</v>
      </c>
      <c r="I24">
        <v>0.5</v>
      </c>
      <c r="J24">
        <v>222</v>
      </c>
      <c r="K24">
        <v>257</v>
      </c>
      <c r="L24">
        <f>Table1[[#This Row],[GF]]-Table1[[#This Row],[GA]]</f>
        <v>-35</v>
      </c>
      <c r="M24">
        <v>2</v>
      </c>
      <c r="N24">
        <v>3</v>
      </c>
      <c r="O24">
        <v>-0.43</v>
      </c>
      <c r="P24">
        <v>0.01</v>
      </c>
      <c r="Q24">
        <v>2.71</v>
      </c>
      <c r="R24">
        <v>3.13</v>
      </c>
      <c r="S24">
        <v>26</v>
      </c>
      <c r="T24">
        <v>207</v>
      </c>
      <c r="U24">
        <v>12.56</v>
      </c>
      <c r="V24">
        <v>50</v>
      </c>
      <c r="W24">
        <v>180</v>
      </c>
      <c r="X24">
        <v>72.22</v>
      </c>
      <c r="Y24">
        <v>9</v>
      </c>
      <c r="Z24">
        <v>8</v>
      </c>
      <c r="AA24">
        <v>5.7</v>
      </c>
      <c r="AB24">
        <v>6.5</v>
      </c>
      <c r="AC24">
        <v>2418</v>
      </c>
      <c r="AD24">
        <v>9.1999999999999993</v>
      </c>
      <c r="AE24">
        <v>2356</v>
      </c>
      <c r="AF24">
        <v>0.89100000000000001</v>
      </c>
      <c r="AG24">
        <v>4</v>
      </c>
    </row>
    <row r="25" spans="1:33" x14ac:dyDescent="0.35">
      <c r="A25">
        <v>24</v>
      </c>
      <c r="B25" t="s">
        <v>55</v>
      </c>
      <c r="C25">
        <v>30.9</v>
      </c>
      <c r="D25">
        <v>82</v>
      </c>
      <c r="E25">
        <v>34</v>
      </c>
      <c r="F25">
        <v>36</v>
      </c>
      <c r="G25">
        <v>12</v>
      </c>
      <c r="H25">
        <v>80</v>
      </c>
      <c r="I25">
        <v>0.48799999999999999</v>
      </c>
      <c r="J25">
        <v>242</v>
      </c>
      <c r="K25">
        <v>287</v>
      </c>
      <c r="L25">
        <f>Table1[[#This Row],[GF]]-Table1[[#This Row],[GA]]</f>
        <v>-45</v>
      </c>
      <c r="M25">
        <v>1</v>
      </c>
      <c r="N25">
        <v>6</v>
      </c>
      <c r="O25">
        <v>-0.59</v>
      </c>
      <c r="P25">
        <v>0.02</v>
      </c>
      <c r="Q25">
        <v>2.95</v>
      </c>
      <c r="R25">
        <v>3.5</v>
      </c>
      <c r="S25">
        <v>57</v>
      </c>
      <c r="T25">
        <v>221</v>
      </c>
      <c r="U25">
        <v>25.79</v>
      </c>
      <c r="V25">
        <v>48</v>
      </c>
      <c r="W25">
        <v>216</v>
      </c>
      <c r="X25">
        <v>77.78</v>
      </c>
      <c r="Y25">
        <v>5</v>
      </c>
      <c r="Z25">
        <v>5</v>
      </c>
      <c r="AA25">
        <v>6.8</v>
      </c>
      <c r="AB25">
        <v>7.3</v>
      </c>
      <c r="AC25">
        <v>2323</v>
      </c>
      <c r="AD25">
        <v>10.4</v>
      </c>
      <c r="AE25">
        <v>2470</v>
      </c>
      <c r="AF25">
        <v>0.88400000000000001</v>
      </c>
      <c r="AG25">
        <v>3</v>
      </c>
    </row>
    <row r="26" spans="1:33" x14ac:dyDescent="0.35">
      <c r="A26">
        <v>25</v>
      </c>
      <c r="B26" t="s">
        <v>56</v>
      </c>
      <c r="C26">
        <v>27.4</v>
      </c>
      <c r="D26">
        <v>82</v>
      </c>
      <c r="E26">
        <v>35</v>
      </c>
      <c r="F26">
        <v>37</v>
      </c>
      <c r="G26">
        <v>10</v>
      </c>
      <c r="H26">
        <v>80</v>
      </c>
      <c r="I26">
        <v>0.48799999999999999</v>
      </c>
      <c r="J26">
        <v>217</v>
      </c>
      <c r="K26">
        <v>261</v>
      </c>
      <c r="L26">
        <f>Table1[[#This Row],[GF]]-Table1[[#This Row],[GA]]</f>
        <v>-44</v>
      </c>
      <c r="M26">
        <v>4</v>
      </c>
      <c r="N26">
        <v>2</v>
      </c>
      <c r="O26">
        <v>-0.49</v>
      </c>
      <c r="P26">
        <v>0.03</v>
      </c>
      <c r="Q26">
        <v>2.65</v>
      </c>
      <c r="R26">
        <v>3.18</v>
      </c>
      <c r="S26">
        <v>26</v>
      </c>
      <c r="T26">
        <v>221</v>
      </c>
      <c r="U26">
        <v>11.76</v>
      </c>
      <c r="V26">
        <v>64</v>
      </c>
      <c r="W26">
        <v>248</v>
      </c>
      <c r="X26">
        <v>74.19</v>
      </c>
      <c r="Y26">
        <v>3</v>
      </c>
      <c r="Z26">
        <v>6</v>
      </c>
      <c r="AA26">
        <v>8.9</v>
      </c>
      <c r="AB26">
        <v>7.8</v>
      </c>
      <c r="AC26">
        <v>2270</v>
      </c>
      <c r="AD26">
        <v>9.6</v>
      </c>
      <c r="AE26">
        <v>2648</v>
      </c>
      <c r="AF26">
        <v>0.90100000000000002</v>
      </c>
      <c r="AG26">
        <v>1</v>
      </c>
    </row>
    <row r="27" spans="1:33" x14ac:dyDescent="0.35">
      <c r="A27">
        <v>26</v>
      </c>
      <c r="B27" t="s">
        <v>57</v>
      </c>
      <c r="C27">
        <v>26.1</v>
      </c>
      <c r="D27">
        <v>82</v>
      </c>
      <c r="E27">
        <v>36</v>
      </c>
      <c r="F27">
        <v>39</v>
      </c>
      <c r="G27">
        <v>7</v>
      </c>
      <c r="H27">
        <v>79</v>
      </c>
      <c r="I27">
        <v>0.48199999999999998</v>
      </c>
      <c r="J27">
        <v>265</v>
      </c>
      <c r="K27">
        <v>287</v>
      </c>
      <c r="L27">
        <f>Table1[[#This Row],[GF]]-Table1[[#This Row],[GA]]</f>
        <v>-22</v>
      </c>
      <c r="M27">
        <v>4</v>
      </c>
      <c r="N27">
        <v>2</v>
      </c>
      <c r="O27">
        <v>-0.24</v>
      </c>
      <c r="P27">
        <v>0.01</v>
      </c>
      <c r="Q27">
        <v>3.23</v>
      </c>
      <c r="R27">
        <v>3.5</v>
      </c>
      <c r="S27">
        <v>43</v>
      </c>
      <c r="T27">
        <v>229</v>
      </c>
      <c r="U27">
        <v>18.78</v>
      </c>
      <c r="V27">
        <v>57</v>
      </c>
      <c r="W27">
        <v>241</v>
      </c>
      <c r="X27">
        <v>76.349999999999994</v>
      </c>
      <c r="Y27">
        <v>10</v>
      </c>
      <c r="Z27">
        <v>8</v>
      </c>
      <c r="AA27">
        <v>10.199999999999999</v>
      </c>
      <c r="AB27">
        <v>9.6</v>
      </c>
      <c r="AC27">
        <v>2278</v>
      </c>
      <c r="AD27">
        <v>11.6</v>
      </c>
      <c r="AE27">
        <v>2368</v>
      </c>
      <c r="AF27">
        <v>0.879</v>
      </c>
      <c r="AG27">
        <v>3</v>
      </c>
    </row>
    <row r="28" spans="1:33" x14ac:dyDescent="0.35">
      <c r="A28">
        <v>27</v>
      </c>
      <c r="B28" t="s">
        <v>58</v>
      </c>
      <c r="C28">
        <v>28.1</v>
      </c>
      <c r="D28">
        <v>82</v>
      </c>
      <c r="E28">
        <v>33</v>
      </c>
      <c r="F28">
        <v>39</v>
      </c>
      <c r="G28">
        <v>10</v>
      </c>
      <c r="H28">
        <v>76</v>
      </c>
      <c r="I28">
        <v>0.46300000000000002</v>
      </c>
      <c r="J28">
        <v>222</v>
      </c>
      <c r="K28">
        <v>271</v>
      </c>
      <c r="L28">
        <f>Table1[[#This Row],[GF]]-Table1[[#This Row],[GA]]</f>
        <v>-49</v>
      </c>
      <c r="M28">
        <v>0</v>
      </c>
      <c r="N28">
        <v>1</v>
      </c>
      <c r="O28">
        <v>-0.56999999999999995</v>
      </c>
      <c r="P28">
        <v>0.04</v>
      </c>
      <c r="Q28">
        <v>2.71</v>
      </c>
      <c r="R28">
        <v>3.3</v>
      </c>
      <c r="S28">
        <v>35</v>
      </c>
      <c r="T28">
        <v>230</v>
      </c>
      <c r="U28">
        <v>15.22</v>
      </c>
      <c r="V28">
        <v>56</v>
      </c>
      <c r="W28">
        <v>236</v>
      </c>
      <c r="X28">
        <v>76.27</v>
      </c>
      <c r="Y28">
        <v>6</v>
      </c>
      <c r="Z28">
        <v>13</v>
      </c>
      <c r="AA28">
        <v>9.8000000000000007</v>
      </c>
      <c r="AB28">
        <v>9.4</v>
      </c>
      <c r="AC28">
        <v>2173</v>
      </c>
      <c r="AD28">
        <v>10.199999999999999</v>
      </c>
      <c r="AE28">
        <v>2346</v>
      </c>
      <c r="AF28">
        <v>0.88400000000000001</v>
      </c>
      <c r="AG28">
        <v>7</v>
      </c>
    </row>
    <row r="29" spans="1:33" x14ac:dyDescent="0.35">
      <c r="A29">
        <v>28</v>
      </c>
      <c r="B29" t="s">
        <v>59</v>
      </c>
      <c r="C29">
        <v>28.9</v>
      </c>
      <c r="D29">
        <v>82</v>
      </c>
      <c r="E29">
        <v>35</v>
      </c>
      <c r="F29">
        <v>41</v>
      </c>
      <c r="G29">
        <v>6</v>
      </c>
      <c r="H29">
        <v>76</v>
      </c>
      <c r="I29">
        <v>0.46300000000000002</v>
      </c>
      <c r="J29">
        <v>245</v>
      </c>
      <c r="K29">
        <v>262</v>
      </c>
      <c r="L29">
        <f>Table1[[#This Row],[GF]]-Table1[[#This Row],[GA]]</f>
        <v>-17</v>
      </c>
      <c r="M29">
        <v>2</v>
      </c>
      <c r="N29">
        <v>3</v>
      </c>
      <c r="O29">
        <v>-0.23</v>
      </c>
      <c r="P29">
        <v>-0.01</v>
      </c>
      <c r="Q29">
        <v>2.99</v>
      </c>
      <c r="R29">
        <v>3.2</v>
      </c>
      <c r="S29">
        <v>43</v>
      </c>
      <c r="T29">
        <v>227</v>
      </c>
      <c r="U29">
        <v>18.940000000000001</v>
      </c>
      <c r="V29">
        <v>44</v>
      </c>
      <c r="W29">
        <v>193</v>
      </c>
      <c r="X29">
        <v>77.2</v>
      </c>
      <c r="Y29">
        <v>3</v>
      </c>
      <c r="Z29">
        <v>4</v>
      </c>
      <c r="AA29">
        <v>7.1</v>
      </c>
      <c r="AB29">
        <v>7.9</v>
      </c>
      <c r="AC29">
        <v>2243</v>
      </c>
      <c r="AD29">
        <v>10.9</v>
      </c>
      <c r="AE29">
        <v>2342</v>
      </c>
      <c r="AF29">
        <v>0.88800000000000001</v>
      </c>
      <c r="AG29">
        <v>2</v>
      </c>
    </row>
    <row r="30" spans="1:33" x14ac:dyDescent="0.35">
      <c r="A30">
        <v>29</v>
      </c>
      <c r="B30" t="s">
        <v>60</v>
      </c>
      <c r="C30">
        <v>26.8</v>
      </c>
      <c r="D30">
        <v>82</v>
      </c>
      <c r="E30">
        <v>33</v>
      </c>
      <c r="F30">
        <v>39</v>
      </c>
      <c r="G30">
        <v>10</v>
      </c>
      <c r="H30">
        <v>76</v>
      </c>
      <c r="I30">
        <v>0.46300000000000002</v>
      </c>
      <c r="J30">
        <v>232</v>
      </c>
      <c r="K30">
        <v>283</v>
      </c>
      <c r="L30">
        <f>Table1[[#This Row],[GF]]-Table1[[#This Row],[GA]]</f>
        <v>-51</v>
      </c>
      <c r="M30">
        <v>6</v>
      </c>
      <c r="N30">
        <v>3</v>
      </c>
      <c r="O30">
        <v>-0.56000000000000005</v>
      </c>
      <c r="P30">
        <v>0.02</v>
      </c>
      <c r="Q30">
        <v>2.83</v>
      </c>
      <c r="R30">
        <v>3.45</v>
      </c>
      <c r="S30">
        <v>32</v>
      </c>
      <c r="T30">
        <v>214</v>
      </c>
      <c r="U30">
        <v>14.95</v>
      </c>
      <c r="V30">
        <v>45</v>
      </c>
      <c r="W30">
        <v>201</v>
      </c>
      <c r="X30">
        <v>77.61</v>
      </c>
      <c r="Y30">
        <v>4</v>
      </c>
      <c r="Z30">
        <v>10</v>
      </c>
      <c r="AA30">
        <v>7.3</v>
      </c>
      <c r="AB30">
        <v>7.4</v>
      </c>
      <c r="AC30">
        <v>2212</v>
      </c>
      <c r="AD30">
        <v>10.5</v>
      </c>
      <c r="AE30">
        <v>2210</v>
      </c>
      <c r="AF30">
        <v>0.872</v>
      </c>
      <c r="AG30">
        <v>3</v>
      </c>
    </row>
    <row r="31" spans="1:33" x14ac:dyDescent="0.35">
      <c r="A31">
        <v>30</v>
      </c>
      <c r="B31" t="s">
        <v>61</v>
      </c>
      <c r="C31">
        <v>29.9</v>
      </c>
      <c r="D31">
        <v>82</v>
      </c>
      <c r="E31">
        <v>30</v>
      </c>
      <c r="F31">
        <v>44</v>
      </c>
      <c r="G31">
        <v>8</v>
      </c>
      <c r="H31">
        <v>68</v>
      </c>
      <c r="I31">
        <v>0.41499999999999998</v>
      </c>
      <c r="J31">
        <v>212</v>
      </c>
      <c r="K31">
        <v>274</v>
      </c>
      <c r="L31">
        <f>Table1[[#This Row],[GF]]-Table1[[#This Row],[GA]]</f>
        <v>-62</v>
      </c>
      <c r="M31">
        <v>2</v>
      </c>
      <c r="N31">
        <v>0</v>
      </c>
      <c r="O31">
        <v>-0.69</v>
      </c>
      <c r="P31">
        <v>0.04</v>
      </c>
      <c r="Q31">
        <v>2.59</v>
      </c>
      <c r="R31">
        <v>3.34</v>
      </c>
      <c r="S31">
        <v>50</v>
      </c>
      <c r="T31">
        <v>229</v>
      </c>
      <c r="U31">
        <v>21.83</v>
      </c>
      <c r="V31">
        <v>45</v>
      </c>
      <c r="W31">
        <v>243</v>
      </c>
      <c r="X31">
        <v>81.48</v>
      </c>
      <c r="Y31">
        <v>1</v>
      </c>
      <c r="Z31">
        <v>5</v>
      </c>
      <c r="AA31">
        <v>9.8000000000000007</v>
      </c>
      <c r="AB31">
        <v>9.1999999999999993</v>
      </c>
      <c r="AC31">
        <v>2403</v>
      </c>
      <c r="AD31">
        <v>8.8000000000000007</v>
      </c>
      <c r="AE31">
        <v>2342</v>
      </c>
      <c r="AF31">
        <v>0.88300000000000001</v>
      </c>
      <c r="AG31">
        <v>4</v>
      </c>
    </row>
    <row r="32" spans="1:33" x14ac:dyDescent="0.35">
      <c r="A32">
        <v>31</v>
      </c>
      <c r="B32" t="s">
        <v>62</v>
      </c>
      <c r="C32">
        <v>28.1</v>
      </c>
      <c r="D32">
        <v>82</v>
      </c>
      <c r="E32">
        <v>25</v>
      </c>
      <c r="F32">
        <v>46</v>
      </c>
      <c r="G32">
        <v>11</v>
      </c>
      <c r="H32">
        <v>61</v>
      </c>
      <c r="I32">
        <v>0.372</v>
      </c>
      <c r="J32">
        <v>224</v>
      </c>
      <c r="K32">
        <v>292</v>
      </c>
      <c r="L32">
        <f>Table1[[#This Row],[GF]]-Table1[[#This Row],[GA]]</f>
        <v>-68</v>
      </c>
      <c r="M32">
        <v>2</v>
      </c>
      <c r="N32">
        <v>4</v>
      </c>
      <c r="O32">
        <v>-0.83</v>
      </c>
      <c r="P32">
        <v>0.03</v>
      </c>
      <c r="Q32">
        <v>2.73</v>
      </c>
      <c r="R32">
        <v>3.56</v>
      </c>
      <c r="S32">
        <v>47</v>
      </c>
      <c r="T32">
        <v>189</v>
      </c>
      <c r="U32">
        <v>24.87</v>
      </c>
      <c r="V32">
        <v>47</v>
      </c>
      <c r="W32">
        <v>227</v>
      </c>
      <c r="X32">
        <v>79.3</v>
      </c>
      <c r="Y32">
        <v>6</v>
      </c>
      <c r="Z32">
        <v>7</v>
      </c>
      <c r="AA32">
        <v>8.6</v>
      </c>
      <c r="AB32">
        <v>7.2</v>
      </c>
      <c r="AC32">
        <v>2005</v>
      </c>
      <c r="AD32">
        <v>11.2</v>
      </c>
      <c r="AE32">
        <v>2550</v>
      </c>
      <c r="AF32">
        <v>0.88500000000000001</v>
      </c>
      <c r="AG32">
        <v>0</v>
      </c>
    </row>
    <row r="33" spans="1:33" x14ac:dyDescent="0.35">
      <c r="A33">
        <v>32</v>
      </c>
      <c r="B33" t="s">
        <v>63</v>
      </c>
      <c r="C33">
        <v>27.2</v>
      </c>
      <c r="D33">
        <v>82</v>
      </c>
      <c r="E33">
        <v>20</v>
      </c>
      <c r="F33">
        <v>50</v>
      </c>
      <c r="G33">
        <v>12</v>
      </c>
      <c r="H33">
        <v>52</v>
      </c>
      <c r="I33">
        <v>0.317</v>
      </c>
      <c r="J33">
        <v>208</v>
      </c>
      <c r="K33">
        <v>310</v>
      </c>
      <c r="L33">
        <f>Table1[[#This Row],[GF]]-Table1[[#This Row],[GA]]</f>
        <v>-102</v>
      </c>
      <c r="M33">
        <v>2</v>
      </c>
      <c r="N33">
        <v>5</v>
      </c>
      <c r="O33">
        <v>-1.24</v>
      </c>
      <c r="P33">
        <v>0.04</v>
      </c>
      <c r="Q33">
        <v>2.54</v>
      </c>
      <c r="R33">
        <v>3.78</v>
      </c>
      <c r="S33">
        <v>42</v>
      </c>
      <c r="T33">
        <v>226</v>
      </c>
      <c r="U33">
        <v>18.579999999999998</v>
      </c>
      <c r="V33">
        <v>66</v>
      </c>
      <c r="W33">
        <v>256</v>
      </c>
      <c r="X33">
        <v>74.22</v>
      </c>
      <c r="Y33">
        <v>5</v>
      </c>
      <c r="Z33">
        <v>8</v>
      </c>
      <c r="AA33">
        <v>8.6999999999999993</v>
      </c>
      <c r="AB33">
        <v>8.6</v>
      </c>
      <c r="AC33">
        <v>2203</v>
      </c>
      <c r="AD33">
        <v>9.4</v>
      </c>
      <c r="AE33">
        <v>2606</v>
      </c>
      <c r="AF33">
        <v>0.88100000000000001</v>
      </c>
      <c r="AG3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2024_2025_NHL_Data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Fox</cp:lastModifiedBy>
  <dcterms:created xsi:type="dcterms:W3CDTF">2025-10-22T16:28:04Z</dcterms:created>
  <dcterms:modified xsi:type="dcterms:W3CDTF">2025-10-22T20:54:03Z</dcterms:modified>
</cp:coreProperties>
</file>