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_EBook\1_Team_Performance_Report\"/>
    </mc:Choice>
  </mc:AlternateContent>
  <xr:revisionPtr revIDLastSave="0" documentId="13_ncr:9_{D99C0214-DF97-425D-BE6B-D3C03673297C}" xr6:coauthVersionLast="47" xr6:coauthVersionMax="47" xr10:uidLastSave="{00000000-0000-0000-0000-000000000000}"/>
  <bookViews>
    <workbookView xWindow="-108" yWindow="-108" windowWidth="30936" windowHeight="18696" activeTab="1" xr2:uid="{C0DBFF3A-9AF7-45D8-9176-F5E914240A40}"/>
  </bookViews>
  <sheets>
    <sheet name="2024_2025_NHL_Data" sheetId="1" r:id="rId1"/>
    <sheet name="performance_report" sheetId="2" r:id="rId2"/>
  </sheets>
  <calcPr calcId="0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</calcChain>
</file>

<file path=xl/sharedStrings.xml><?xml version="1.0" encoding="utf-8"?>
<sst xmlns="http://schemas.openxmlformats.org/spreadsheetml/2006/main" count="129" uniqueCount="65">
  <si>
    <t>RANK</t>
  </si>
  <si>
    <t>TEAM</t>
  </si>
  <si>
    <t>AVG_AGE</t>
  </si>
  <si>
    <t>GP</t>
  </si>
  <si>
    <t>W</t>
  </si>
  <si>
    <t>L</t>
  </si>
  <si>
    <t>OL</t>
  </si>
  <si>
    <t>PTS</t>
  </si>
  <si>
    <t>PTS_PCT</t>
  </si>
  <si>
    <t>GF</t>
  </si>
  <si>
    <t>GA</t>
  </si>
  <si>
    <t>SOW</t>
  </si>
  <si>
    <t>SOL</t>
  </si>
  <si>
    <t>SRS</t>
  </si>
  <si>
    <t>SOS</t>
  </si>
  <si>
    <t>GFPG</t>
  </si>
  <si>
    <t>GAPG</t>
  </si>
  <si>
    <t>PP</t>
  </si>
  <si>
    <t>PPO</t>
  </si>
  <si>
    <t>PP_PCT</t>
  </si>
  <si>
    <t>PPA</t>
  </si>
  <si>
    <t>PPOA</t>
  </si>
  <si>
    <t>PK_PCT</t>
  </si>
  <si>
    <t>SH</t>
  </si>
  <si>
    <t>SHA</t>
  </si>
  <si>
    <t>PIMPG</t>
  </si>
  <si>
    <t>OPIMPG</t>
  </si>
  <si>
    <t>S</t>
  </si>
  <si>
    <t>SHOT_PCT</t>
  </si>
  <si>
    <t>SA</t>
  </si>
  <si>
    <t>SAVE_PCT</t>
  </si>
  <si>
    <t>SO</t>
  </si>
  <si>
    <t>Winnipeg Jets</t>
  </si>
  <si>
    <t>Washington Capitals</t>
  </si>
  <si>
    <t>Vegas Golden Knights</t>
  </si>
  <si>
    <t>Toronto Maple Leafs</t>
  </si>
  <si>
    <t>Dallas Stars</t>
  </si>
  <si>
    <t>Los Angeles Kings</t>
  </si>
  <si>
    <t>Tampa Bay Lightning</t>
  </si>
  <si>
    <t>Colorado Avalanche</t>
  </si>
  <si>
    <t>Edmonton Oilers</t>
  </si>
  <si>
    <t>Carolina Hurricanes</t>
  </si>
  <si>
    <t>Florida Panthers</t>
  </si>
  <si>
    <t>Minnesota Wild</t>
  </si>
  <si>
    <t>Ottawa Senators</t>
  </si>
  <si>
    <t>Calgary Flames</t>
  </si>
  <si>
    <t>St. Louis Blues</t>
  </si>
  <si>
    <t>Montreal Canadiens</t>
  </si>
  <si>
    <t>New Jersey Devils</t>
  </si>
  <si>
    <t>Vancouver Canucks</t>
  </si>
  <si>
    <t>Columbus Blue Jackets</t>
  </si>
  <si>
    <t>Utah Hockey Club</t>
  </si>
  <si>
    <t>Detroit Red Wings</t>
  </si>
  <si>
    <t>New York Rangers</t>
  </si>
  <si>
    <t>New York Islanders</t>
  </si>
  <si>
    <t>Pittsburgh Penguins</t>
  </si>
  <si>
    <t>Anaheim Ducks</t>
  </si>
  <si>
    <t>Buffalo Sabres</t>
  </si>
  <si>
    <t>Boston Bruins</t>
  </si>
  <si>
    <t>Seattle Kraken</t>
  </si>
  <si>
    <t>Philadelphia Flyers</t>
  </si>
  <si>
    <t>Nashville Predators</t>
  </si>
  <si>
    <t>Chicago Blackhawks</t>
  </si>
  <si>
    <t>San Jose Sharks</t>
  </si>
  <si>
    <t>WIN_EXP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</si>
</sst>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68" fontId="18" fillId="0" borderId="0" xfId="0" applyNumberFormat="1" applyFont="1" applyAlignment="1">
      <alignment horizontal="center"/>
    </xf>
    <xf numFmtId="169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8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9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9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9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9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8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168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A50D4-5D52-4FBC-8464-BFFB3AD8DA4A}" name="Table1" displayName="Table1" ref="A1:AG33" totalsRowShown="0">
  <autoFilter ref="A1:AG33" xr:uid="{7A7A50D4-5D52-4FBC-8464-BFFB3AD8DA4A}"/>
  <tableColumns count="33">
    <tableColumn id="1" xr3:uid="{661812DB-B972-4B25-BB6D-14A4D7BB53D0}" name="RANK" dataDxfId="32"/>
    <tableColumn id="2" xr3:uid="{8BCEBB95-DE4B-4A62-A52B-FE620DBB315B}" name="TEAM" dataDxfId="31"/>
    <tableColumn id="3" xr3:uid="{445214C6-8100-444F-BC14-2667E1963EFA}" name="AVG_AGE" dataDxfId="30"/>
    <tableColumn id="4" xr3:uid="{6C3BB247-B771-42CA-BA63-ACB13FFE0413}" name="GP" dataDxfId="29"/>
    <tableColumn id="5" xr3:uid="{E9DC4FB5-596B-4757-BEFF-7E7E7746DED2}" name="W" dataDxfId="28"/>
    <tableColumn id="6" xr3:uid="{5B538946-3198-459C-84A6-4CDA22A5C986}" name="L" dataDxfId="27"/>
    <tableColumn id="7" xr3:uid="{FEF1B99E-5095-4CE9-BD8D-CF574B8F93D1}" name="OL" dataDxfId="26"/>
    <tableColumn id="8" xr3:uid="{AA7E0C65-DA93-45F6-BE1C-D4AF4CF5EB63}" name="PTS" dataDxfId="25"/>
    <tableColumn id="9" xr3:uid="{35997118-0392-4F43-9FFD-1796F5AC2153}" name="PTS_PCT" dataDxfId="24"/>
    <tableColumn id="10" xr3:uid="{05D78DD8-DD7E-48D7-9730-27FBB69F8B5C}" name="GF" dataDxfId="23"/>
    <tableColumn id="11" xr3:uid="{D76F76F7-5ECA-45B4-9F98-85EE862DE883}" name="GA" dataDxfId="22"/>
    <tableColumn id="33" xr3:uid="{7219608F-95A2-472A-9CEB-42E56835F788}" name="WIN_EXP" dataDxfId="21">
      <calculatedColumnFormula>(Table1[[#This Row],[GF]]^2)/(Table1[[#This Row],[GF]]^2+Table1[[#This Row],[GA]]^2)</calculatedColumnFormula>
    </tableColumn>
    <tableColumn id="12" xr3:uid="{AA72A180-6EDF-4E42-8CF0-195AA9D6F5DF}" name="SOW" dataDxfId="20"/>
    <tableColumn id="13" xr3:uid="{EC6207A1-D83A-4685-9A46-DF64336BE576}" name="SOL" dataDxfId="19"/>
    <tableColumn id="14" xr3:uid="{4B7850E9-76B7-4DD4-A9E1-404F62D79A42}" name="SRS" dataDxfId="18"/>
    <tableColumn id="15" xr3:uid="{B526E867-B813-438C-8EE0-E29C114F2DE1}" name="SOS" dataDxfId="17"/>
    <tableColumn id="16" xr3:uid="{2621F59C-76CC-4FB3-A29E-FC3F0D4E53A0}" name="GFPG" dataDxfId="16"/>
    <tableColumn id="17" xr3:uid="{0072AEB1-FE3F-4891-A1FD-171153D67CF4}" name="GAPG" dataDxfId="15"/>
    <tableColumn id="18" xr3:uid="{54ACFB66-A90C-4783-B7FE-5D2C036A294D}" name="PP" dataDxfId="14"/>
    <tableColumn id="19" xr3:uid="{15EDC77E-4922-4364-9D5F-1643289E7AB9}" name="PPO" dataDxfId="13"/>
    <tableColumn id="20" xr3:uid="{830CE978-DA23-41E5-BDCF-3E28640C1F8C}" name="PP_PCT" dataDxfId="12"/>
    <tableColumn id="21" xr3:uid="{5DB2394C-0707-4BE8-ADEB-67323665100E}" name="PPA" dataDxfId="11"/>
    <tableColumn id="22" xr3:uid="{E7FD5AC9-F673-4898-859C-6DC97CE9715A}" name="PPOA" dataDxfId="10"/>
    <tableColumn id="23" xr3:uid="{543297FF-20B5-406B-B581-D0ED19C0DD20}" name="PK_PCT" dataDxfId="9"/>
    <tableColumn id="24" xr3:uid="{0A691ACD-B18F-4716-8CF0-72D1F4E29DC7}" name="SH" dataDxfId="8"/>
    <tableColumn id="25" xr3:uid="{30795395-B430-4664-A6FC-13C0988D718C}" name="SHA" dataDxfId="7"/>
    <tableColumn id="26" xr3:uid="{58FF23D5-E66E-49F0-AA80-8F3FF567671D}" name="PIMPG" dataDxfId="6"/>
    <tableColumn id="27" xr3:uid="{65259390-E97A-45FE-9D01-8419880D6BC5}" name="OPIMPG" dataDxfId="5"/>
    <tableColumn id="28" xr3:uid="{76B01549-29D5-42D5-A8FE-4967E70DAB45}" name="S" dataDxfId="4"/>
    <tableColumn id="29" xr3:uid="{025CC8BA-53AB-49E6-B4EF-D20131C89C6F}" name="SHOT_PCT" dataDxfId="3"/>
    <tableColumn id="30" xr3:uid="{11D6D334-D348-4125-83C2-A4096839A25B}" name="SA" dataDxfId="2"/>
    <tableColumn id="31" xr3:uid="{D71CB423-A8A9-4D64-B421-4EFCB2225D6C}" name="SAVE_PCT" dataDxfId="0"/>
    <tableColumn id="32" xr3:uid="{00FA329C-0DE2-4CE2-98FF-B41CCD4A55E0}" name="SO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D4D5-AB8D-4C02-9DC7-88D6148A24F9}">
  <dimension ref="A1:AF33"/>
  <sheetViews>
    <sheetView workbookViewId="0">
      <selection sqref="A1:XFD1048576"/>
    </sheetView>
  </sheetViews>
  <sheetFormatPr defaultRowHeight="14.4" x14ac:dyDescent="0.3"/>
  <cols>
    <col min="2" max="2" width="19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 t="s">
        <v>32</v>
      </c>
      <c r="C2">
        <v>29.7</v>
      </c>
      <c r="D2">
        <v>82</v>
      </c>
      <c r="E2">
        <v>56</v>
      </c>
      <c r="F2">
        <v>22</v>
      </c>
      <c r="G2">
        <v>4</v>
      </c>
      <c r="H2">
        <v>116</v>
      </c>
      <c r="I2">
        <v>0.70699999999999996</v>
      </c>
      <c r="J2">
        <v>275</v>
      </c>
      <c r="K2">
        <v>190</v>
      </c>
      <c r="L2">
        <v>2</v>
      </c>
      <c r="M2">
        <v>1</v>
      </c>
      <c r="N2">
        <v>1.02</v>
      </c>
      <c r="O2">
        <v>-0.03</v>
      </c>
      <c r="P2">
        <v>3.35</v>
      </c>
      <c r="Q2">
        <v>2.3199999999999998</v>
      </c>
      <c r="R2">
        <v>63</v>
      </c>
      <c r="S2">
        <v>218</v>
      </c>
      <c r="T2">
        <v>28.9</v>
      </c>
      <c r="U2">
        <v>41</v>
      </c>
      <c r="V2">
        <v>199</v>
      </c>
      <c r="W2">
        <v>79.400000000000006</v>
      </c>
      <c r="X2">
        <v>4</v>
      </c>
      <c r="Y2">
        <v>4</v>
      </c>
      <c r="Z2">
        <v>7.2</v>
      </c>
      <c r="AA2">
        <v>7.9</v>
      </c>
      <c r="AB2">
        <v>2314</v>
      </c>
      <c r="AC2">
        <v>11.9</v>
      </c>
      <c r="AD2">
        <v>2229</v>
      </c>
      <c r="AE2">
        <v>0.91500000000000004</v>
      </c>
      <c r="AF2">
        <v>10</v>
      </c>
    </row>
    <row r="3" spans="1:32" x14ac:dyDescent="0.3">
      <c r="A3">
        <v>2</v>
      </c>
      <c r="B3" t="s">
        <v>33</v>
      </c>
      <c r="C3">
        <v>29.5</v>
      </c>
      <c r="D3">
        <v>82</v>
      </c>
      <c r="E3">
        <v>51</v>
      </c>
      <c r="F3">
        <v>22</v>
      </c>
      <c r="G3">
        <v>9</v>
      </c>
      <c r="H3">
        <v>111</v>
      </c>
      <c r="I3">
        <v>0.67700000000000005</v>
      </c>
      <c r="J3">
        <v>286</v>
      </c>
      <c r="K3">
        <v>229</v>
      </c>
      <c r="L3">
        <v>2</v>
      </c>
      <c r="M3">
        <v>3</v>
      </c>
      <c r="N3">
        <v>0.66</v>
      </c>
      <c r="O3">
        <v>-0.03</v>
      </c>
      <c r="P3">
        <v>3.49</v>
      </c>
      <c r="Q3">
        <v>2.79</v>
      </c>
      <c r="R3">
        <v>52</v>
      </c>
      <c r="S3">
        <v>221</v>
      </c>
      <c r="T3">
        <v>23.53</v>
      </c>
      <c r="U3">
        <v>43</v>
      </c>
      <c r="V3">
        <v>239</v>
      </c>
      <c r="W3">
        <v>82.01</v>
      </c>
      <c r="X3">
        <v>8</v>
      </c>
      <c r="Y3">
        <v>7</v>
      </c>
      <c r="Z3">
        <v>9.5</v>
      </c>
      <c r="AA3">
        <v>8.9</v>
      </c>
      <c r="AB3">
        <v>2265</v>
      </c>
      <c r="AC3">
        <v>12.6</v>
      </c>
      <c r="AD3">
        <v>2229</v>
      </c>
      <c r="AE3">
        <v>0.89700000000000002</v>
      </c>
      <c r="AF3">
        <v>3</v>
      </c>
    </row>
    <row r="4" spans="1:32" x14ac:dyDescent="0.3">
      <c r="A4">
        <v>3</v>
      </c>
      <c r="B4" t="s">
        <v>34</v>
      </c>
      <c r="C4">
        <v>29.4</v>
      </c>
      <c r="D4">
        <v>82</v>
      </c>
      <c r="E4">
        <v>50</v>
      </c>
      <c r="F4">
        <v>22</v>
      </c>
      <c r="G4">
        <v>10</v>
      </c>
      <c r="H4">
        <v>110</v>
      </c>
      <c r="I4">
        <v>0.67100000000000004</v>
      </c>
      <c r="J4">
        <v>274</v>
      </c>
      <c r="K4">
        <v>214</v>
      </c>
      <c r="L4">
        <v>1</v>
      </c>
      <c r="M4">
        <v>5</v>
      </c>
      <c r="N4">
        <v>0.65</v>
      </c>
      <c r="O4">
        <v>-0.03</v>
      </c>
      <c r="P4">
        <v>3.34</v>
      </c>
      <c r="Q4">
        <v>2.61</v>
      </c>
      <c r="R4">
        <v>53</v>
      </c>
      <c r="S4">
        <v>187</v>
      </c>
      <c r="T4">
        <v>28.34</v>
      </c>
      <c r="U4">
        <v>41</v>
      </c>
      <c r="V4">
        <v>169</v>
      </c>
      <c r="W4">
        <v>75.739999999999995</v>
      </c>
      <c r="X4">
        <v>6</v>
      </c>
      <c r="Y4">
        <v>3</v>
      </c>
      <c r="Z4">
        <v>5.6</v>
      </c>
      <c r="AA4">
        <v>6.2</v>
      </c>
      <c r="AB4">
        <v>2482</v>
      </c>
      <c r="AC4">
        <v>11</v>
      </c>
      <c r="AD4">
        <v>2141</v>
      </c>
      <c r="AE4">
        <v>0.9</v>
      </c>
      <c r="AF4">
        <v>6</v>
      </c>
    </row>
    <row r="5" spans="1:32" x14ac:dyDescent="0.3">
      <c r="A5">
        <v>4</v>
      </c>
      <c r="B5" t="s">
        <v>35</v>
      </c>
      <c r="C5">
        <v>29.4</v>
      </c>
      <c r="D5">
        <v>82</v>
      </c>
      <c r="E5">
        <v>52</v>
      </c>
      <c r="F5">
        <v>26</v>
      </c>
      <c r="G5">
        <v>4</v>
      </c>
      <c r="H5">
        <v>108</v>
      </c>
      <c r="I5">
        <v>0.65900000000000003</v>
      </c>
      <c r="J5">
        <v>267</v>
      </c>
      <c r="K5">
        <v>229</v>
      </c>
      <c r="L5">
        <v>1</v>
      </c>
      <c r="M5">
        <v>2</v>
      </c>
      <c r="N5">
        <v>0.44</v>
      </c>
      <c r="O5">
        <v>-0.01</v>
      </c>
      <c r="P5">
        <v>3.26</v>
      </c>
      <c r="Q5">
        <v>2.79</v>
      </c>
      <c r="R5">
        <v>54</v>
      </c>
      <c r="S5">
        <v>218</v>
      </c>
      <c r="T5">
        <v>24.77</v>
      </c>
      <c r="U5">
        <v>52</v>
      </c>
      <c r="V5">
        <v>235</v>
      </c>
      <c r="W5">
        <v>77.87</v>
      </c>
      <c r="X5">
        <v>6</v>
      </c>
      <c r="Y5">
        <v>7</v>
      </c>
      <c r="Z5">
        <v>8</v>
      </c>
      <c r="AA5">
        <v>7.5</v>
      </c>
      <c r="AB5">
        <v>2297</v>
      </c>
      <c r="AC5">
        <v>11.6</v>
      </c>
      <c r="AD5">
        <v>2405</v>
      </c>
      <c r="AE5">
        <v>0.90500000000000003</v>
      </c>
      <c r="AF5">
        <v>5</v>
      </c>
    </row>
    <row r="6" spans="1:32" x14ac:dyDescent="0.3">
      <c r="A6">
        <v>5</v>
      </c>
      <c r="B6" t="s">
        <v>36</v>
      </c>
      <c r="C6">
        <v>28.5</v>
      </c>
      <c r="D6">
        <v>82</v>
      </c>
      <c r="E6">
        <v>50</v>
      </c>
      <c r="F6">
        <v>26</v>
      </c>
      <c r="G6">
        <v>6</v>
      </c>
      <c r="H6">
        <v>106</v>
      </c>
      <c r="I6">
        <v>0.64600000000000002</v>
      </c>
      <c r="J6">
        <v>275</v>
      </c>
      <c r="K6">
        <v>222</v>
      </c>
      <c r="L6">
        <v>2</v>
      </c>
      <c r="M6">
        <v>2</v>
      </c>
      <c r="N6">
        <v>0.61</v>
      </c>
      <c r="O6">
        <v>-0.04</v>
      </c>
      <c r="P6">
        <v>3.35</v>
      </c>
      <c r="Q6">
        <v>2.71</v>
      </c>
      <c r="R6">
        <v>55</v>
      </c>
      <c r="S6">
        <v>250</v>
      </c>
      <c r="T6">
        <v>22</v>
      </c>
      <c r="U6">
        <v>41</v>
      </c>
      <c r="V6">
        <v>228</v>
      </c>
      <c r="W6">
        <v>82.02</v>
      </c>
      <c r="X6">
        <v>8</v>
      </c>
      <c r="Y6">
        <v>4</v>
      </c>
      <c r="Z6">
        <v>7</v>
      </c>
      <c r="AA6">
        <v>7.8</v>
      </c>
      <c r="AB6">
        <v>2325</v>
      </c>
      <c r="AC6">
        <v>11.8</v>
      </c>
      <c r="AD6">
        <v>2382</v>
      </c>
      <c r="AE6">
        <v>0.90700000000000003</v>
      </c>
      <c r="AF6">
        <v>4</v>
      </c>
    </row>
    <row r="7" spans="1:32" x14ac:dyDescent="0.3">
      <c r="A7">
        <v>6</v>
      </c>
      <c r="B7" t="s">
        <v>37</v>
      </c>
      <c r="C7">
        <v>29.4</v>
      </c>
      <c r="D7">
        <v>82</v>
      </c>
      <c r="E7">
        <v>48</v>
      </c>
      <c r="F7">
        <v>25</v>
      </c>
      <c r="G7">
        <v>9</v>
      </c>
      <c r="H7">
        <v>105</v>
      </c>
      <c r="I7">
        <v>0.64</v>
      </c>
      <c r="J7">
        <v>249</v>
      </c>
      <c r="K7">
        <v>203</v>
      </c>
      <c r="L7">
        <v>1</v>
      </c>
      <c r="M7">
        <v>3</v>
      </c>
      <c r="N7">
        <v>0.5</v>
      </c>
      <c r="O7">
        <v>-0.04</v>
      </c>
      <c r="P7">
        <v>3.04</v>
      </c>
      <c r="Q7">
        <v>2.48</v>
      </c>
      <c r="R7">
        <v>37</v>
      </c>
      <c r="S7">
        <v>207</v>
      </c>
      <c r="T7">
        <v>17.87</v>
      </c>
      <c r="U7">
        <v>44</v>
      </c>
      <c r="V7">
        <v>237</v>
      </c>
      <c r="W7">
        <v>81.430000000000007</v>
      </c>
      <c r="X7">
        <v>4</v>
      </c>
      <c r="Y7">
        <v>6</v>
      </c>
      <c r="Z7">
        <v>7.8</v>
      </c>
      <c r="AA7">
        <v>7.8</v>
      </c>
      <c r="AB7">
        <v>2302</v>
      </c>
      <c r="AC7">
        <v>10.8</v>
      </c>
      <c r="AD7">
        <v>2091</v>
      </c>
      <c r="AE7">
        <v>0.90300000000000002</v>
      </c>
      <c r="AF7">
        <v>6</v>
      </c>
    </row>
    <row r="8" spans="1:32" x14ac:dyDescent="0.3">
      <c r="A8">
        <v>7</v>
      </c>
      <c r="B8" t="s">
        <v>38</v>
      </c>
      <c r="C8">
        <v>29.7</v>
      </c>
      <c r="D8">
        <v>82</v>
      </c>
      <c r="E8">
        <v>47</v>
      </c>
      <c r="F8">
        <v>27</v>
      </c>
      <c r="G8">
        <v>8</v>
      </c>
      <c r="H8">
        <v>102</v>
      </c>
      <c r="I8">
        <v>0.622</v>
      </c>
      <c r="J8">
        <v>292</v>
      </c>
      <c r="K8">
        <v>216</v>
      </c>
      <c r="L8">
        <v>2</v>
      </c>
      <c r="M8">
        <v>3</v>
      </c>
      <c r="N8">
        <v>0.89</v>
      </c>
      <c r="O8">
        <v>-0.03</v>
      </c>
      <c r="P8">
        <v>3.56</v>
      </c>
      <c r="Q8">
        <v>2.63</v>
      </c>
      <c r="R8">
        <v>60</v>
      </c>
      <c r="S8">
        <v>232</v>
      </c>
      <c r="T8">
        <v>25.86</v>
      </c>
      <c r="U8">
        <v>38</v>
      </c>
      <c r="V8">
        <v>206</v>
      </c>
      <c r="W8">
        <v>81.55</v>
      </c>
      <c r="X8">
        <v>11</v>
      </c>
      <c r="Y8">
        <v>13</v>
      </c>
      <c r="Z8">
        <v>8.1</v>
      </c>
      <c r="AA8">
        <v>9.3000000000000007</v>
      </c>
      <c r="AB8">
        <v>2341</v>
      </c>
      <c r="AC8">
        <v>12.5</v>
      </c>
      <c r="AD8">
        <v>2311</v>
      </c>
      <c r="AE8">
        <v>0.90700000000000003</v>
      </c>
      <c r="AF8">
        <v>7</v>
      </c>
    </row>
    <row r="9" spans="1:32" x14ac:dyDescent="0.3">
      <c r="A9">
        <v>8</v>
      </c>
      <c r="B9" t="s">
        <v>39</v>
      </c>
      <c r="C9">
        <v>28.7</v>
      </c>
      <c r="D9">
        <v>82</v>
      </c>
      <c r="E9">
        <v>49</v>
      </c>
      <c r="F9">
        <v>29</v>
      </c>
      <c r="G9">
        <v>4</v>
      </c>
      <c r="H9">
        <v>102</v>
      </c>
      <c r="I9">
        <v>0.622</v>
      </c>
      <c r="J9">
        <v>273</v>
      </c>
      <c r="K9">
        <v>231</v>
      </c>
      <c r="L9">
        <v>4</v>
      </c>
      <c r="M9">
        <v>3</v>
      </c>
      <c r="N9">
        <v>0.5</v>
      </c>
      <c r="O9">
        <v>-0.03</v>
      </c>
      <c r="P9">
        <v>3.33</v>
      </c>
      <c r="Q9">
        <v>2.82</v>
      </c>
      <c r="R9">
        <v>58</v>
      </c>
      <c r="S9">
        <v>234</v>
      </c>
      <c r="T9">
        <v>24.79</v>
      </c>
      <c r="U9">
        <v>42</v>
      </c>
      <c r="V9">
        <v>208</v>
      </c>
      <c r="W9">
        <v>79.81</v>
      </c>
      <c r="X9">
        <v>5</v>
      </c>
      <c r="Y9">
        <v>7</v>
      </c>
      <c r="Z9">
        <v>6.8</v>
      </c>
      <c r="AA9">
        <v>7.2</v>
      </c>
      <c r="AB9">
        <v>2451</v>
      </c>
      <c r="AC9">
        <v>11.1</v>
      </c>
      <c r="AD9">
        <v>2126</v>
      </c>
      <c r="AE9">
        <v>0.89100000000000001</v>
      </c>
      <c r="AF9">
        <v>5</v>
      </c>
    </row>
    <row r="10" spans="1:32" x14ac:dyDescent="0.3">
      <c r="A10">
        <v>9</v>
      </c>
      <c r="B10" t="s">
        <v>40</v>
      </c>
      <c r="C10">
        <v>30.4</v>
      </c>
      <c r="D10">
        <v>82</v>
      </c>
      <c r="E10">
        <v>48</v>
      </c>
      <c r="F10">
        <v>29</v>
      </c>
      <c r="G10">
        <v>5</v>
      </c>
      <c r="H10">
        <v>101</v>
      </c>
      <c r="I10">
        <v>0.61599999999999999</v>
      </c>
      <c r="J10">
        <v>259</v>
      </c>
      <c r="K10">
        <v>235</v>
      </c>
      <c r="L10">
        <v>0</v>
      </c>
      <c r="M10">
        <v>1</v>
      </c>
      <c r="N10">
        <v>0.26</v>
      </c>
      <c r="O10">
        <v>-0.02</v>
      </c>
      <c r="P10">
        <v>3.16</v>
      </c>
      <c r="Q10">
        <v>2.87</v>
      </c>
      <c r="R10">
        <v>51</v>
      </c>
      <c r="S10">
        <v>215</v>
      </c>
      <c r="T10">
        <v>23.72</v>
      </c>
      <c r="U10">
        <v>45</v>
      </c>
      <c r="V10">
        <v>206</v>
      </c>
      <c r="W10">
        <v>78.16</v>
      </c>
      <c r="X10">
        <v>5</v>
      </c>
      <c r="Y10">
        <v>4</v>
      </c>
      <c r="Z10">
        <v>7.5</v>
      </c>
      <c r="AA10">
        <v>7.6</v>
      </c>
      <c r="AB10">
        <v>2622</v>
      </c>
      <c r="AC10">
        <v>9.9</v>
      </c>
      <c r="AD10">
        <v>2211</v>
      </c>
      <c r="AE10">
        <v>0.89400000000000002</v>
      </c>
      <c r="AF10">
        <v>4</v>
      </c>
    </row>
    <row r="11" spans="1:32" x14ac:dyDescent="0.3">
      <c r="A11">
        <v>10</v>
      </c>
      <c r="B11" t="s">
        <v>41</v>
      </c>
      <c r="C11">
        <v>29.6</v>
      </c>
      <c r="D11">
        <v>82</v>
      </c>
      <c r="E11">
        <v>47</v>
      </c>
      <c r="F11">
        <v>30</v>
      </c>
      <c r="G11">
        <v>5</v>
      </c>
      <c r="H11">
        <v>99</v>
      </c>
      <c r="I11">
        <v>0.60399999999999998</v>
      </c>
      <c r="J11">
        <v>266</v>
      </c>
      <c r="K11">
        <v>230</v>
      </c>
      <c r="L11">
        <v>0</v>
      </c>
      <c r="M11">
        <v>3</v>
      </c>
      <c r="N11">
        <v>0.4</v>
      </c>
      <c r="O11">
        <v>0</v>
      </c>
      <c r="P11">
        <v>3.24</v>
      </c>
      <c r="Q11">
        <v>2.8</v>
      </c>
      <c r="R11">
        <v>46</v>
      </c>
      <c r="S11">
        <v>246</v>
      </c>
      <c r="T11">
        <v>18.7</v>
      </c>
      <c r="U11">
        <v>40</v>
      </c>
      <c r="V11">
        <v>244</v>
      </c>
      <c r="W11">
        <v>83.61</v>
      </c>
      <c r="X11">
        <v>10</v>
      </c>
      <c r="Y11">
        <v>5</v>
      </c>
      <c r="Z11">
        <v>7.9</v>
      </c>
      <c r="AA11">
        <v>8.1</v>
      </c>
      <c r="AB11">
        <v>2599</v>
      </c>
      <c r="AC11">
        <v>10.199999999999999</v>
      </c>
      <c r="AD11">
        <v>2044</v>
      </c>
      <c r="AE11">
        <v>0.88700000000000001</v>
      </c>
      <c r="AF11">
        <v>5</v>
      </c>
    </row>
    <row r="12" spans="1:32" x14ac:dyDescent="0.3">
      <c r="A12">
        <v>11</v>
      </c>
      <c r="B12" t="s">
        <v>42</v>
      </c>
      <c r="C12">
        <v>29.6</v>
      </c>
      <c r="D12">
        <v>82</v>
      </c>
      <c r="E12">
        <v>47</v>
      </c>
      <c r="F12">
        <v>31</v>
      </c>
      <c r="G12">
        <v>4</v>
      </c>
      <c r="H12">
        <v>98</v>
      </c>
      <c r="I12">
        <v>0.59799999999999998</v>
      </c>
      <c r="J12">
        <v>246</v>
      </c>
      <c r="K12">
        <v>223</v>
      </c>
      <c r="L12">
        <v>6</v>
      </c>
      <c r="M12">
        <v>0</v>
      </c>
      <c r="N12">
        <v>0.35</v>
      </c>
      <c r="O12">
        <v>-0.01</v>
      </c>
      <c r="P12">
        <v>3</v>
      </c>
      <c r="Q12">
        <v>2.72</v>
      </c>
      <c r="R12">
        <v>56</v>
      </c>
      <c r="S12">
        <v>238</v>
      </c>
      <c r="T12">
        <v>23.53</v>
      </c>
      <c r="U12">
        <v>47</v>
      </c>
      <c r="V12">
        <v>244</v>
      </c>
      <c r="W12">
        <v>80.739999999999995</v>
      </c>
      <c r="X12">
        <v>12</v>
      </c>
      <c r="Y12">
        <v>10</v>
      </c>
      <c r="Z12">
        <v>10.4</v>
      </c>
      <c r="AA12">
        <v>9.5</v>
      </c>
      <c r="AB12">
        <v>2588</v>
      </c>
      <c r="AC12">
        <v>9.5</v>
      </c>
      <c r="AD12">
        <v>2146</v>
      </c>
      <c r="AE12">
        <v>0.89600000000000002</v>
      </c>
      <c r="AF12">
        <v>8</v>
      </c>
    </row>
    <row r="13" spans="1:32" x14ac:dyDescent="0.3">
      <c r="A13">
        <v>12</v>
      </c>
      <c r="B13" t="s">
        <v>43</v>
      </c>
      <c r="C13">
        <v>29.7</v>
      </c>
      <c r="D13">
        <v>82</v>
      </c>
      <c r="E13">
        <v>45</v>
      </c>
      <c r="F13">
        <v>30</v>
      </c>
      <c r="G13">
        <v>7</v>
      </c>
      <c r="H13">
        <v>97</v>
      </c>
      <c r="I13">
        <v>0.59099999999999997</v>
      </c>
      <c r="J13">
        <v>225</v>
      </c>
      <c r="K13">
        <v>236</v>
      </c>
      <c r="L13">
        <v>3</v>
      </c>
      <c r="M13">
        <v>3</v>
      </c>
      <c r="N13">
        <v>-0.13</v>
      </c>
      <c r="O13">
        <v>0.01</v>
      </c>
      <c r="P13">
        <v>2.74</v>
      </c>
      <c r="Q13">
        <v>2.88</v>
      </c>
      <c r="R13">
        <v>43</v>
      </c>
      <c r="S13">
        <v>206</v>
      </c>
      <c r="T13">
        <v>20.87</v>
      </c>
      <c r="U13">
        <v>56</v>
      </c>
      <c r="V13">
        <v>203</v>
      </c>
      <c r="W13">
        <v>72.41</v>
      </c>
      <c r="X13">
        <v>4</v>
      </c>
      <c r="Y13">
        <v>4</v>
      </c>
      <c r="Z13">
        <v>7.6</v>
      </c>
      <c r="AA13">
        <v>7.5</v>
      </c>
      <c r="AB13">
        <v>2263</v>
      </c>
      <c r="AC13">
        <v>9.9</v>
      </c>
      <c r="AD13">
        <v>2427</v>
      </c>
      <c r="AE13">
        <v>0.90300000000000002</v>
      </c>
      <c r="AF13">
        <v>6</v>
      </c>
    </row>
    <row r="14" spans="1:32" x14ac:dyDescent="0.3">
      <c r="A14">
        <v>13</v>
      </c>
      <c r="B14" t="s">
        <v>44</v>
      </c>
      <c r="C14">
        <v>28.2</v>
      </c>
      <c r="D14">
        <v>82</v>
      </c>
      <c r="E14">
        <v>45</v>
      </c>
      <c r="F14">
        <v>30</v>
      </c>
      <c r="G14">
        <v>7</v>
      </c>
      <c r="H14">
        <v>97</v>
      </c>
      <c r="I14">
        <v>0.59099999999999997</v>
      </c>
      <c r="J14">
        <v>242</v>
      </c>
      <c r="K14">
        <v>232</v>
      </c>
      <c r="L14">
        <v>1</v>
      </c>
      <c r="M14">
        <v>2</v>
      </c>
      <c r="N14">
        <v>0.11</v>
      </c>
      <c r="O14">
        <v>-0.01</v>
      </c>
      <c r="P14">
        <v>2.95</v>
      </c>
      <c r="Q14">
        <v>2.83</v>
      </c>
      <c r="R14">
        <v>64</v>
      </c>
      <c r="S14">
        <v>269</v>
      </c>
      <c r="T14">
        <v>23.79</v>
      </c>
      <c r="U14">
        <v>51</v>
      </c>
      <c r="V14">
        <v>229</v>
      </c>
      <c r="W14">
        <v>77.73</v>
      </c>
      <c r="X14">
        <v>9</v>
      </c>
      <c r="Y14">
        <v>3</v>
      </c>
      <c r="Z14">
        <v>8.5</v>
      </c>
      <c r="AA14">
        <v>10</v>
      </c>
      <c r="AB14">
        <v>2403</v>
      </c>
      <c r="AC14">
        <v>10.1</v>
      </c>
      <c r="AD14">
        <v>2346</v>
      </c>
      <c r="AE14">
        <v>0.90100000000000002</v>
      </c>
      <c r="AF14">
        <v>10</v>
      </c>
    </row>
    <row r="15" spans="1:32" x14ac:dyDescent="0.3">
      <c r="A15">
        <v>14</v>
      </c>
      <c r="B15" t="s">
        <v>45</v>
      </c>
      <c r="C15">
        <v>28.4</v>
      </c>
      <c r="D15">
        <v>82</v>
      </c>
      <c r="E15">
        <v>41</v>
      </c>
      <c r="F15">
        <v>27</v>
      </c>
      <c r="G15">
        <v>14</v>
      </c>
      <c r="H15">
        <v>96</v>
      </c>
      <c r="I15">
        <v>0.58499999999999996</v>
      </c>
      <c r="J15">
        <v>220</v>
      </c>
      <c r="K15">
        <v>236</v>
      </c>
      <c r="L15">
        <v>5</v>
      </c>
      <c r="M15">
        <v>2</v>
      </c>
      <c r="N15">
        <v>-0.17</v>
      </c>
      <c r="O15">
        <v>-0.02</v>
      </c>
      <c r="P15">
        <v>2.68</v>
      </c>
      <c r="Q15">
        <v>2.88</v>
      </c>
      <c r="R15">
        <v>49</v>
      </c>
      <c r="S15">
        <v>233</v>
      </c>
      <c r="T15">
        <v>21.03</v>
      </c>
      <c r="U15">
        <v>54</v>
      </c>
      <c r="V15">
        <v>226</v>
      </c>
      <c r="W15">
        <v>76.11</v>
      </c>
      <c r="X15">
        <v>7</v>
      </c>
      <c r="Y15">
        <v>6</v>
      </c>
      <c r="Z15">
        <v>9.1999999999999993</v>
      </c>
      <c r="AA15">
        <v>9.6</v>
      </c>
      <c r="AB15">
        <v>2414</v>
      </c>
      <c r="AC15">
        <v>9.1</v>
      </c>
      <c r="AD15">
        <v>2372</v>
      </c>
      <c r="AE15">
        <v>0.90100000000000002</v>
      </c>
      <c r="AF15">
        <v>5</v>
      </c>
    </row>
    <row r="16" spans="1:32" x14ac:dyDescent="0.3">
      <c r="A16">
        <v>15</v>
      </c>
      <c r="B16" t="s">
        <v>46</v>
      </c>
      <c r="C16">
        <v>29.3</v>
      </c>
      <c r="D16">
        <v>82</v>
      </c>
      <c r="E16">
        <v>44</v>
      </c>
      <c r="F16">
        <v>30</v>
      </c>
      <c r="G16">
        <v>8</v>
      </c>
      <c r="H16">
        <v>96</v>
      </c>
      <c r="I16">
        <v>0.58499999999999996</v>
      </c>
      <c r="J16">
        <v>250</v>
      </c>
      <c r="K16">
        <v>231</v>
      </c>
      <c r="L16">
        <v>4</v>
      </c>
      <c r="M16">
        <v>2</v>
      </c>
      <c r="N16">
        <v>0.25</v>
      </c>
      <c r="O16">
        <v>-0.01</v>
      </c>
      <c r="P16">
        <v>3.05</v>
      </c>
      <c r="Q16">
        <v>2.82</v>
      </c>
      <c r="R16">
        <v>43</v>
      </c>
      <c r="S16">
        <v>195</v>
      </c>
      <c r="T16">
        <v>22.05</v>
      </c>
      <c r="U16">
        <v>49</v>
      </c>
      <c r="V16">
        <v>191</v>
      </c>
      <c r="W16">
        <v>74.349999999999994</v>
      </c>
      <c r="X16">
        <v>4</v>
      </c>
      <c r="Y16">
        <v>5</v>
      </c>
      <c r="Z16">
        <v>7.5</v>
      </c>
      <c r="AA16">
        <v>8.1999999999999993</v>
      </c>
      <c r="AB16">
        <v>2185</v>
      </c>
      <c r="AC16">
        <v>11.4</v>
      </c>
      <c r="AD16">
        <v>2236</v>
      </c>
      <c r="AE16">
        <v>0.89700000000000002</v>
      </c>
      <c r="AF16">
        <v>4</v>
      </c>
    </row>
    <row r="17" spans="1:32" x14ac:dyDescent="0.3">
      <c r="A17">
        <v>16</v>
      </c>
      <c r="B17" t="s">
        <v>47</v>
      </c>
      <c r="C17">
        <v>26.9</v>
      </c>
      <c r="D17">
        <v>82</v>
      </c>
      <c r="E17">
        <v>40</v>
      </c>
      <c r="F17">
        <v>31</v>
      </c>
      <c r="G17">
        <v>11</v>
      </c>
      <c r="H17">
        <v>91</v>
      </c>
      <c r="I17">
        <v>0.55500000000000005</v>
      </c>
      <c r="J17">
        <v>243</v>
      </c>
      <c r="K17">
        <v>261</v>
      </c>
      <c r="L17">
        <v>2</v>
      </c>
      <c r="M17">
        <v>4</v>
      </c>
      <c r="N17">
        <v>-0.23</v>
      </c>
      <c r="O17">
        <v>0.02</v>
      </c>
      <c r="P17">
        <v>2.96</v>
      </c>
      <c r="Q17">
        <v>3.18</v>
      </c>
      <c r="R17">
        <v>47</v>
      </c>
      <c r="S17">
        <v>234</v>
      </c>
      <c r="T17">
        <v>20.09</v>
      </c>
      <c r="U17">
        <v>49</v>
      </c>
      <c r="V17">
        <v>257</v>
      </c>
      <c r="W17">
        <v>80.930000000000007</v>
      </c>
      <c r="X17">
        <v>9</v>
      </c>
      <c r="Y17">
        <v>6</v>
      </c>
      <c r="Z17">
        <v>9.3000000000000007</v>
      </c>
      <c r="AA17">
        <v>8.3000000000000007</v>
      </c>
      <c r="AB17">
        <v>2095</v>
      </c>
      <c r="AC17">
        <v>11.6</v>
      </c>
      <c r="AD17">
        <v>2383</v>
      </c>
      <c r="AE17">
        <v>0.89</v>
      </c>
      <c r="AF17">
        <v>5</v>
      </c>
    </row>
    <row r="18" spans="1:32" x14ac:dyDescent="0.3">
      <c r="A18">
        <v>17</v>
      </c>
      <c r="B18" t="s">
        <v>48</v>
      </c>
      <c r="C18">
        <v>29.6</v>
      </c>
      <c r="D18">
        <v>82</v>
      </c>
      <c r="E18">
        <v>42</v>
      </c>
      <c r="F18">
        <v>33</v>
      </c>
      <c r="G18">
        <v>7</v>
      </c>
      <c r="H18">
        <v>91</v>
      </c>
      <c r="I18">
        <v>0.55500000000000005</v>
      </c>
      <c r="J18">
        <v>240</v>
      </c>
      <c r="K18">
        <v>220</v>
      </c>
      <c r="L18">
        <v>2</v>
      </c>
      <c r="M18">
        <v>2</v>
      </c>
      <c r="N18">
        <v>0.24</v>
      </c>
      <c r="O18">
        <v>-0.01</v>
      </c>
      <c r="P18">
        <v>2.93</v>
      </c>
      <c r="Q18">
        <v>2.68</v>
      </c>
      <c r="R18">
        <v>61</v>
      </c>
      <c r="S18">
        <v>216</v>
      </c>
      <c r="T18">
        <v>28.24</v>
      </c>
      <c r="U18">
        <v>39</v>
      </c>
      <c r="V18">
        <v>225</v>
      </c>
      <c r="W18">
        <v>82.67</v>
      </c>
      <c r="X18">
        <v>7</v>
      </c>
      <c r="Y18">
        <v>4</v>
      </c>
      <c r="Z18">
        <v>8.4</v>
      </c>
      <c r="AA18">
        <v>7.5</v>
      </c>
      <c r="AB18">
        <v>2303</v>
      </c>
      <c r="AC18">
        <v>10.4</v>
      </c>
      <c r="AD18">
        <v>2160</v>
      </c>
      <c r="AE18">
        <v>0.89800000000000002</v>
      </c>
      <c r="AF18">
        <v>9</v>
      </c>
    </row>
    <row r="19" spans="1:32" x14ac:dyDescent="0.3">
      <c r="A19">
        <v>18</v>
      </c>
      <c r="B19" t="s">
        <v>49</v>
      </c>
      <c r="C19">
        <v>28.6</v>
      </c>
      <c r="D19">
        <v>82</v>
      </c>
      <c r="E19">
        <v>38</v>
      </c>
      <c r="F19">
        <v>30</v>
      </c>
      <c r="G19">
        <v>14</v>
      </c>
      <c r="H19">
        <v>90</v>
      </c>
      <c r="I19">
        <v>0.54900000000000004</v>
      </c>
      <c r="J19">
        <v>233</v>
      </c>
      <c r="K19">
        <v>251</v>
      </c>
      <c r="L19">
        <v>3</v>
      </c>
      <c r="M19">
        <v>2</v>
      </c>
      <c r="N19">
        <v>-0.22</v>
      </c>
      <c r="O19">
        <v>-0.01</v>
      </c>
      <c r="P19">
        <v>2.84</v>
      </c>
      <c r="Q19">
        <v>3.06</v>
      </c>
      <c r="R19">
        <v>50</v>
      </c>
      <c r="S19">
        <v>222</v>
      </c>
      <c r="T19">
        <v>22.52</v>
      </c>
      <c r="U19">
        <v>39</v>
      </c>
      <c r="V19">
        <v>224</v>
      </c>
      <c r="W19">
        <v>82.59</v>
      </c>
      <c r="X19">
        <v>4</v>
      </c>
      <c r="Y19">
        <v>7</v>
      </c>
      <c r="Z19">
        <v>9.3000000000000007</v>
      </c>
      <c r="AA19">
        <v>9.1</v>
      </c>
      <c r="AB19">
        <v>2094</v>
      </c>
      <c r="AC19">
        <v>11.1</v>
      </c>
      <c r="AD19">
        <v>2198</v>
      </c>
      <c r="AE19">
        <v>0.88600000000000001</v>
      </c>
      <c r="AF19">
        <v>5</v>
      </c>
    </row>
    <row r="20" spans="1:32" x14ac:dyDescent="0.3">
      <c r="A20">
        <v>19</v>
      </c>
      <c r="B20" t="s">
        <v>50</v>
      </c>
      <c r="C20">
        <v>27.6</v>
      </c>
      <c r="D20">
        <v>82</v>
      </c>
      <c r="E20">
        <v>40</v>
      </c>
      <c r="F20">
        <v>33</v>
      </c>
      <c r="G20">
        <v>9</v>
      </c>
      <c r="H20">
        <v>89</v>
      </c>
      <c r="I20">
        <v>0.54300000000000004</v>
      </c>
      <c r="J20">
        <v>267</v>
      </c>
      <c r="K20">
        <v>267</v>
      </c>
      <c r="L20">
        <v>6</v>
      </c>
      <c r="M20">
        <v>1</v>
      </c>
      <c r="N20">
        <v>0.06</v>
      </c>
      <c r="O20">
        <v>0</v>
      </c>
      <c r="P20">
        <v>3.26</v>
      </c>
      <c r="Q20">
        <v>3.26</v>
      </c>
      <c r="R20">
        <v>36</v>
      </c>
      <c r="S20">
        <v>185</v>
      </c>
      <c r="T20">
        <v>19.46</v>
      </c>
      <c r="U20">
        <v>50</v>
      </c>
      <c r="V20">
        <v>217</v>
      </c>
      <c r="W20">
        <v>76.959999999999994</v>
      </c>
      <c r="X20">
        <v>9</v>
      </c>
      <c r="Y20">
        <v>7</v>
      </c>
      <c r="Z20">
        <v>8.1999999999999993</v>
      </c>
      <c r="AA20">
        <v>7.5</v>
      </c>
      <c r="AB20">
        <v>2382</v>
      </c>
      <c r="AC20">
        <v>11.2</v>
      </c>
      <c r="AD20">
        <v>2453</v>
      </c>
      <c r="AE20">
        <v>0.89100000000000001</v>
      </c>
      <c r="AF20">
        <v>4</v>
      </c>
    </row>
    <row r="21" spans="1:32" x14ac:dyDescent="0.3">
      <c r="A21">
        <v>20</v>
      </c>
      <c r="B21" t="s">
        <v>51</v>
      </c>
      <c r="C21">
        <v>27.7</v>
      </c>
      <c r="D21">
        <v>82</v>
      </c>
      <c r="E21">
        <v>38</v>
      </c>
      <c r="F21">
        <v>31</v>
      </c>
      <c r="G21">
        <v>13</v>
      </c>
      <c r="H21">
        <v>89</v>
      </c>
      <c r="I21">
        <v>0.54300000000000004</v>
      </c>
      <c r="J21">
        <v>240</v>
      </c>
      <c r="K21">
        <v>247</v>
      </c>
      <c r="L21">
        <v>1</v>
      </c>
      <c r="M21">
        <v>4</v>
      </c>
      <c r="N21">
        <v>-0.11</v>
      </c>
      <c r="O21">
        <v>0.01</v>
      </c>
      <c r="P21">
        <v>2.93</v>
      </c>
      <c r="Q21">
        <v>3.01</v>
      </c>
      <c r="R21">
        <v>57</v>
      </c>
      <c r="S21">
        <v>236</v>
      </c>
      <c r="T21">
        <v>24.15</v>
      </c>
      <c r="U21">
        <v>52</v>
      </c>
      <c r="V21">
        <v>251</v>
      </c>
      <c r="W21">
        <v>79.28</v>
      </c>
      <c r="X21">
        <v>4</v>
      </c>
      <c r="Y21">
        <v>8</v>
      </c>
      <c r="Z21">
        <v>9.6</v>
      </c>
      <c r="AA21">
        <v>9.5</v>
      </c>
      <c r="AB21">
        <v>2339</v>
      </c>
      <c r="AC21">
        <v>10.3</v>
      </c>
      <c r="AD21">
        <v>2271</v>
      </c>
      <c r="AE21">
        <v>0.89100000000000001</v>
      </c>
      <c r="AF21">
        <v>2</v>
      </c>
    </row>
    <row r="22" spans="1:32" x14ac:dyDescent="0.3">
      <c r="A22">
        <v>21</v>
      </c>
      <c r="B22" t="s">
        <v>52</v>
      </c>
      <c r="C22">
        <v>29.5</v>
      </c>
      <c r="D22">
        <v>82</v>
      </c>
      <c r="E22">
        <v>39</v>
      </c>
      <c r="F22">
        <v>35</v>
      </c>
      <c r="G22">
        <v>8</v>
      </c>
      <c r="H22">
        <v>86</v>
      </c>
      <c r="I22">
        <v>0.52400000000000002</v>
      </c>
      <c r="J22">
        <v>235</v>
      </c>
      <c r="K22">
        <v>259</v>
      </c>
      <c r="L22">
        <v>3</v>
      </c>
      <c r="M22">
        <v>0</v>
      </c>
      <c r="N22">
        <v>-0.23</v>
      </c>
      <c r="O22">
        <v>0.02</v>
      </c>
      <c r="P22">
        <v>2.87</v>
      </c>
      <c r="Q22">
        <v>3.16</v>
      </c>
      <c r="R22">
        <v>64</v>
      </c>
      <c r="S22">
        <v>237</v>
      </c>
      <c r="T22">
        <v>27</v>
      </c>
      <c r="U22">
        <v>55</v>
      </c>
      <c r="V22">
        <v>184</v>
      </c>
      <c r="W22">
        <v>70.11</v>
      </c>
      <c r="X22">
        <v>2</v>
      </c>
      <c r="Y22">
        <v>7</v>
      </c>
      <c r="Z22">
        <v>6.8</v>
      </c>
      <c r="AA22">
        <v>8.1999999999999993</v>
      </c>
      <c r="AB22">
        <v>2249</v>
      </c>
      <c r="AC22">
        <v>10.4</v>
      </c>
      <c r="AD22">
        <v>2335</v>
      </c>
      <c r="AE22">
        <v>0.88900000000000001</v>
      </c>
      <c r="AF22">
        <v>4</v>
      </c>
    </row>
    <row r="23" spans="1:32" x14ac:dyDescent="0.3">
      <c r="A23">
        <v>22</v>
      </c>
      <c r="B23" t="s">
        <v>53</v>
      </c>
      <c r="C23">
        <v>28.9</v>
      </c>
      <c r="D23">
        <v>82</v>
      </c>
      <c r="E23">
        <v>39</v>
      </c>
      <c r="F23">
        <v>36</v>
      </c>
      <c r="G23">
        <v>7</v>
      </c>
      <c r="H23">
        <v>85</v>
      </c>
      <c r="I23">
        <v>0.51800000000000002</v>
      </c>
      <c r="J23">
        <v>255</v>
      </c>
      <c r="K23">
        <v>255</v>
      </c>
      <c r="L23">
        <v>1</v>
      </c>
      <c r="M23">
        <v>0</v>
      </c>
      <c r="N23">
        <v>0.01</v>
      </c>
      <c r="O23">
        <v>0</v>
      </c>
      <c r="P23">
        <v>3.11</v>
      </c>
      <c r="Q23">
        <v>3.11</v>
      </c>
      <c r="R23">
        <v>37</v>
      </c>
      <c r="S23">
        <v>210</v>
      </c>
      <c r="T23">
        <v>17.62</v>
      </c>
      <c r="U23">
        <v>47</v>
      </c>
      <c r="V23">
        <v>239</v>
      </c>
      <c r="W23">
        <v>80.33</v>
      </c>
      <c r="X23">
        <v>18</v>
      </c>
      <c r="Y23">
        <v>7</v>
      </c>
      <c r="Z23">
        <v>8.4</v>
      </c>
      <c r="AA23">
        <v>7.6</v>
      </c>
      <c r="AB23">
        <v>2344</v>
      </c>
      <c r="AC23">
        <v>10.9</v>
      </c>
      <c r="AD23">
        <v>2451</v>
      </c>
      <c r="AE23">
        <v>0.89600000000000002</v>
      </c>
      <c r="AF23">
        <v>9</v>
      </c>
    </row>
    <row r="24" spans="1:32" x14ac:dyDescent="0.3">
      <c r="A24">
        <v>23</v>
      </c>
      <c r="B24" t="s">
        <v>54</v>
      </c>
      <c r="C24">
        <v>29.7</v>
      </c>
      <c r="D24">
        <v>82</v>
      </c>
      <c r="E24">
        <v>35</v>
      </c>
      <c r="F24">
        <v>35</v>
      </c>
      <c r="G24">
        <v>12</v>
      </c>
      <c r="H24">
        <v>82</v>
      </c>
      <c r="I24">
        <v>0.5</v>
      </c>
      <c r="J24">
        <v>222</v>
      </c>
      <c r="K24">
        <v>257</v>
      </c>
      <c r="L24">
        <v>2</v>
      </c>
      <c r="M24">
        <v>3</v>
      </c>
      <c r="N24">
        <v>-0.43</v>
      </c>
      <c r="O24">
        <v>0.01</v>
      </c>
      <c r="P24">
        <v>2.71</v>
      </c>
      <c r="Q24">
        <v>3.13</v>
      </c>
      <c r="R24">
        <v>26</v>
      </c>
      <c r="S24">
        <v>207</v>
      </c>
      <c r="T24">
        <v>12.56</v>
      </c>
      <c r="U24">
        <v>50</v>
      </c>
      <c r="V24">
        <v>180</v>
      </c>
      <c r="W24">
        <v>72.22</v>
      </c>
      <c r="X24">
        <v>9</v>
      </c>
      <c r="Y24">
        <v>8</v>
      </c>
      <c r="Z24">
        <v>5.7</v>
      </c>
      <c r="AA24">
        <v>6.5</v>
      </c>
      <c r="AB24">
        <v>2418</v>
      </c>
      <c r="AC24">
        <v>9.1999999999999993</v>
      </c>
      <c r="AD24">
        <v>2356</v>
      </c>
      <c r="AE24">
        <v>0.89100000000000001</v>
      </c>
      <c r="AF24">
        <v>4</v>
      </c>
    </row>
    <row r="25" spans="1:32" x14ac:dyDescent="0.3">
      <c r="A25">
        <v>24</v>
      </c>
      <c r="B25" t="s">
        <v>55</v>
      </c>
      <c r="C25">
        <v>30.9</v>
      </c>
      <c r="D25">
        <v>82</v>
      </c>
      <c r="E25">
        <v>34</v>
      </c>
      <c r="F25">
        <v>36</v>
      </c>
      <c r="G25">
        <v>12</v>
      </c>
      <c r="H25">
        <v>80</v>
      </c>
      <c r="I25">
        <v>0.48799999999999999</v>
      </c>
      <c r="J25">
        <v>242</v>
      </c>
      <c r="K25">
        <v>287</v>
      </c>
      <c r="L25">
        <v>1</v>
      </c>
      <c r="M25">
        <v>6</v>
      </c>
      <c r="N25">
        <v>-0.59</v>
      </c>
      <c r="O25">
        <v>0.02</v>
      </c>
      <c r="P25">
        <v>2.95</v>
      </c>
      <c r="Q25">
        <v>3.5</v>
      </c>
      <c r="R25">
        <v>57</v>
      </c>
      <c r="S25">
        <v>221</v>
      </c>
      <c r="T25">
        <v>25.79</v>
      </c>
      <c r="U25">
        <v>48</v>
      </c>
      <c r="V25">
        <v>216</v>
      </c>
      <c r="W25">
        <v>77.78</v>
      </c>
      <c r="X25">
        <v>5</v>
      </c>
      <c r="Y25">
        <v>5</v>
      </c>
      <c r="Z25">
        <v>6.8</v>
      </c>
      <c r="AA25">
        <v>7.3</v>
      </c>
      <c r="AB25">
        <v>2323</v>
      </c>
      <c r="AC25">
        <v>10.4</v>
      </c>
      <c r="AD25">
        <v>2470</v>
      </c>
      <c r="AE25">
        <v>0.88400000000000001</v>
      </c>
      <c r="AF25">
        <v>3</v>
      </c>
    </row>
    <row r="26" spans="1:32" x14ac:dyDescent="0.3">
      <c r="A26">
        <v>25</v>
      </c>
      <c r="B26" t="s">
        <v>56</v>
      </c>
      <c r="C26">
        <v>27.4</v>
      </c>
      <c r="D26">
        <v>82</v>
      </c>
      <c r="E26">
        <v>35</v>
      </c>
      <c r="F26">
        <v>37</v>
      </c>
      <c r="G26">
        <v>10</v>
      </c>
      <c r="H26">
        <v>80</v>
      </c>
      <c r="I26">
        <v>0.48799999999999999</v>
      </c>
      <c r="J26">
        <v>217</v>
      </c>
      <c r="K26">
        <v>261</v>
      </c>
      <c r="L26">
        <v>4</v>
      </c>
      <c r="M26">
        <v>2</v>
      </c>
      <c r="N26">
        <v>-0.49</v>
      </c>
      <c r="O26">
        <v>0.03</v>
      </c>
      <c r="P26">
        <v>2.65</v>
      </c>
      <c r="Q26">
        <v>3.18</v>
      </c>
      <c r="R26">
        <v>26</v>
      </c>
      <c r="S26">
        <v>221</v>
      </c>
      <c r="T26">
        <v>11.76</v>
      </c>
      <c r="U26">
        <v>64</v>
      </c>
      <c r="V26">
        <v>248</v>
      </c>
      <c r="W26">
        <v>74.19</v>
      </c>
      <c r="X26">
        <v>3</v>
      </c>
      <c r="Y26">
        <v>6</v>
      </c>
      <c r="Z26">
        <v>8.9</v>
      </c>
      <c r="AA26">
        <v>7.8</v>
      </c>
      <c r="AB26">
        <v>2270</v>
      </c>
      <c r="AC26">
        <v>9.6</v>
      </c>
      <c r="AD26">
        <v>2648</v>
      </c>
      <c r="AE26">
        <v>0.90100000000000002</v>
      </c>
      <c r="AF26">
        <v>1</v>
      </c>
    </row>
    <row r="27" spans="1:32" x14ac:dyDescent="0.3">
      <c r="A27">
        <v>26</v>
      </c>
      <c r="B27" t="s">
        <v>57</v>
      </c>
      <c r="C27">
        <v>26.1</v>
      </c>
      <c r="D27">
        <v>82</v>
      </c>
      <c r="E27">
        <v>36</v>
      </c>
      <c r="F27">
        <v>39</v>
      </c>
      <c r="G27">
        <v>7</v>
      </c>
      <c r="H27">
        <v>79</v>
      </c>
      <c r="I27">
        <v>0.48199999999999998</v>
      </c>
      <c r="J27">
        <v>265</v>
      </c>
      <c r="K27">
        <v>287</v>
      </c>
      <c r="L27">
        <v>4</v>
      </c>
      <c r="M27">
        <v>2</v>
      </c>
      <c r="N27">
        <v>-0.24</v>
      </c>
      <c r="O27">
        <v>0.01</v>
      </c>
      <c r="P27">
        <v>3.23</v>
      </c>
      <c r="Q27">
        <v>3.5</v>
      </c>
      <c r="R27">
        <v>43</v>
      </c>
      <c r="S27">
        <v>229</v>
      </c>
      <c r="T27">
        <v>18.78</v>
      </c>
      <c r="U27">
        <v>57</v>
      </c>
      <c r="V27">
        <v>241</v>
      </c>
      <c r="W27">
        <v>76.349999999999994</v>
      </c>
      <c r="X27">
        <v>10</v>
      </c>
      <c r="Y27">
        <v>8</v>
      </c>
      <c r="Z27">
        <v>10.199999999999999</v>
      </c>
      <c r="AA27">
        <v>9.6</v>
      </c>
      <c r="AB27">
        <v>2278</v>
      </c>
      <c r="AC27">
        <v>11.6</v>
      </c>
      <c r="AD27">
        <v>2368</v>
      </c>
      <c r="AE27">
        <v>0.879</v>
      </c>
      <c r="AF27">
        <v>3</v>
      </c>
    </row>
    <row r="28" spans="1:32" x14ac:dyDescent="0.3">
      <c r="A28">
        <v>27</v>
      </c>
      <c r="B28" t="s">
        <v>58</v>
      </c>
      <c r="C28">
        <v>28.1</v>
      </c>
      <c r="D28">
        <v>82</v>
      </c>
      <c r="E28">
        <v>33</v>
      </c>
      <c r="F28">
        <v>39</v>
      </c>
      <c r="G28">
        <v>10</v>
      </c>
      <c r="H28">
        <v>76</v>
      </c>
      <c r="I28">
        <v>0.46300000000000002</v>
      </c>
      <c r="J28">
        <v>222</v>
      </c>
      <c r="K28">
        <v>271</v>
      </c>
      <c r="L28">
        <v>0</v>
      </c>
      <c r="M28">
        <v>1</v>
      </c>
      <c r="N28">
        <v>-0.56999999999999995</v>
      </c>
      <c r="O28">
        <v>0.04</v>
      </c>
      <c r="P28">
        <v>2.71</v>
      </c>
      <c r="Q28">
        <v>3.3</v>
      </c>
      <c r="R28">
        <v>35</v>
      </c>
      <c r="S28">
        <v>230</v>
      </c>
      <c r="T28">
        <v>15.22</v>
      </c>
      <c r="U28">
        <v>56</v>
      </c>
      <c r="V28">
        <v>236</v>
      </c>
      <c r="W28">
        <v>76.27</v>
      </c>
      <c r="X28">
        <v>6</v>
      </c>
      <c r="Y28">
        <v>13</v>
      </c>
      <c r="Z28">
        <v>9.8000000000000007</v>
      </c>
      <c r="AA28">
        <v>9.4</v>
      </c>
      <c r="AB28">
        <v>2173</v>
      </c>
      <c r="AC28">
        <v>10.199999999999999</v>
      </c>
      <c r="AD28">
        <v>2346</v>
      </c>
      <c r="AE28">
        <v>0.88400000000000001</v>
      </c>
      <c r="AF28">
        <v>7</v>
      </c>
    </row>
    <row r="29" spans="1:32" x14ac:dyDescent="0.3">
      <c r="A29">
        <v>28</v>
      </c>
      <c r="B29" t="s">
        <v>59</v>
      </c>
      <c r="C29">
        <v>28.9</v>
      </c>
      <c r="D29">
        <v>82</v>
      </c>
      <c r="E29">
        <v>35</v>
      </c>
      <c r="F29">
        <v>41</v>
      </c>
      <c r="G29">
        <v>6</v>
      </c>
      <c r="H29">
        <v>76</v>
      </c>
      <c r="I29">
        <v>0.46300000000000002</v>
      </c>
      <c r="J29">
        <v>245</v>
      </c>
      <c r="K29">
        <v>262</v>
      </c>
      <c r="L29">
        <v>2</v>
      </c>
      <c r="M29">
        <v>3</v>
      </c>
      <c r="N29">
        <v>-0.23</v>
      </c>
      <c r="O29">
        <v>-0.01</v>
      </c>
      <c r="P29">
        <v>2.99</v>
      </c>
      <c r="Q29">
        <v>3.2</v>
      </c>
      <c r="R29">
        <v>43</v>
      </c>
      <c r="S29">
        <v>227</v>
      </c>
      <c r="T29">
        <v>18.940000000000001</v>
      </c>
      <c r="U29">
        <v>44</v>
      </c>
      <c r="V29">
        <v>193</v>
      </c>
      <c r="W29">
        <v>77.2</v>
      </c>
      <c r="X29">
        <v>3</v>
      </c>
      <c r="Y29">
        <v>4</v>
      </c>
      <c r="Z29">
        <v>7.1</v>
      </c>
      <c r="AA29">
        <v>7.9</v>
      </c>
      <c r="AB29">
        <v>2243</v>
      </c>
      <c r="AC29">
        <v>10.9</v>
      </c>
      <c r="AD29">
        <v>2342</v>
      </c>
      <c r="AE29">
        <v>0.88800000000000001</v>
      </c>
      <c r="AF29">
        <v>2</v>
      </c>
    </row>
    <row r="30" spans="1:32" x14ac:dyDescent="0.3">
      <c r="A30">
        <v>29</v>
      </c>
      <c r="B30" t="s">
        <v>60</v>
      </c>
      <c r="C30">
        <v>26.8</v>
      </c>
      <c r="D30">
        <v>82</v>
      </c>
      <c r="E30">
        <v>33</v>
      </c>
      <c r="F30">
        <v>39</v>
      </c>
      <c r="G30">
        <v>10</v>
      </c>
      <c r="H30">
        <v>76</v>
      </c>
      <c r="I30">
        <v>0.46300000000000002</v>
      </c>
      <c r="J30">
        <v>232</v>
      </c>
      <c r="K30">
        <v>283</v>
      </c>
      <c r="L30">
        <v>6</v>
      </c>
      <c r="M30">
        <v>3</v>
      </c>
      <c r="N30">
        <v>-0.56000000000000005</v>
      </c>
      <c r="O30">
        <v>0.02</v>
      </c>
      <c r="P30">
        <v>2.83</v>
      </c>
      <c r="Q30">
        <v>3.45</v>
      </c>
      <c r="R30">
        <v>32</v>
      </c>
      <c r="S30">
        <v>214</v>
      </c>
      <c r="T30">
        <v>14.95</v>
      </c>
      <c r="U30">
        <v>45</v>
      </c>
      <c r="V30">
        <v>201</v>
      </c>
      <c r="W30">
        <v>77.61</v>
      </c>
      <c r="X30">
        <v>4</v>
      </c>
      <c r="Y30">
        <v>10</v>
      </c>
      <c r="Z30">
        <v>7.3</v>
      </c>
      <c r="AA30">
        <v>7.4</v>
      </c>
      <c r="AB30">
        <v>2212</v>
      </c>
      <c r="AC30">
        <v>10.5</v>
      </c>
      <c r="AD30">
        <v>2210</v>
      </c>
      <c r="AE30">
        <v>0.872</v>
      </c>
      <c r="AF30">
        <v>3</v>
      </c>
    </row>
    <row r="31" spans="1:32" x14ac:dyDescent="0.3">
      <c r="A31">
        <v>30</v>
      </c>
      <c r="B31" t="s">
        <v>61</v>
      </c>
      <c r="C31">
        <v>29.9</v>
      </c>
      <c r="D31">
        <v>82</v>
      </c>
      <c r="E31">
        <v>30</v>
      </c>
      <c r="F31">
        <v>44</v>
      </c>
      <c r="G31">
        <v>8</v>
      </c>
      <c r="H31">
        <v>68</v>
      </c>
      <c r="I31">
        <v>0.41499999999999998</v>
      </c>
      <c r="J31">
        <v>212</v>
      </c>
      <c r="K31">
        <v>274</v>
      </c>
      <c r="L31">
        <v>2</v>
      </c>
      <c r="M31">
        <v>0</v>
      </c>
      <c r="N31">
        <v>-0.69</v>
      </c>
      <c r="O31">
        <v>0.04</v>
      </c>
      <c r="P31">
        <v>2.59</v>
      </c>
      <c r="Q31">
        <v>3.34</v>
      </c>
      <c r="R31">
        <v>50</v>
      </c>
      <c r="S31">
        <v>229</v>
      </c>
      <c r="T31">
        <v>21.83</v>
      </c>
      <c r="U31">
        <v>45</v>
      </c>
      <c r="V31">
        <v>243</v>
      </c>
      <c r="W31">
        <v>81.48</v>
      </c>
      <c r="X31">
        <v>1</v>
      </c>
      <c r="Y31">
        <v>5</v>
      </c>
      <c r="Z31">
        <v>9.8000000000000007</v>
      </c>
      <c r="AA31">
        <v>9.1999999999999993</v>
      </c>
      <c r="AB31">
        <v>2403</v>
      </c>
      <c r="AC31">
        <v>8.8000000000000007</v>
      </c>
      <c r="AD31">
        <v>2342</v>
      </c>
      <c r="AE31">
        <v>0.88300000000000001</v>
      </c>
      <c r="AF31">
        <v>4</v>
      </c>
    </row>
    <row r="32" spans="1:32" x14ac:dyDescent="0.3">
      <c r="A32">
        <v>31</v>
      </c>
      <c r="B32" t="s">
        <v>62</v>
      </c>
      <c r="C32">
        <v>28.1</v>
      </c>
      <c r="D32">
        <v>82</v>
      </c>
      <c r="E32">
        <v>25</v>
      </c>
      <c r="F32">
        <v>46</v>
      </c>
      <c r="G32">
        <v>11</v>
      </c>
      <c r="H32">
        <v>61</v>
      </c>
      <c r="I32">
        <v>0.372</v>
      </c>
      <c r="J32">
        <v>224</v>
      </c>
      <c r="K32">
        <v>292</v>
      </c>
      <c r="L32">
        <v>2</v>
      </c>
      <c r="M32">
        <v>4</v>
      </c>
      <c r="N32">
        <v>-0.83</v>
      </c>
      <c r="O32">
        <v>0.03</v>
      </c>
      <c r="P32">
        <v>2.73</v>
      </c>
      <c r="Q32">
        <v>3.56</v>
      </c>
      <c r="R32">
        <v>47</v>
      </c>
      <c r="S32">
        <v>189</v>
      </c>
      <c r="T32">
        <v>24.87</v>
      </c>
      <c r="U32">
        <v>47</v>
      </c>
      <c r="V32">
        <v>227</v>
      </c>
      <c r="W32">
        <v>79.3</v>
      </c>
      <c r="X32">
        <v>6</v>
      </c>
      <c r="Y32">
        <v>7</v>
      </c>
      <c r="Z32">
        <v>8.6</v>
      </c>
      <c r="AA32">
        <v>7.2</v>
      </c>
      <c r="AB32">
        <v>2005</v>
      </c>
      <c r="AC32">
        <v>11.2</v>
      </c>
      <c r="AD32">
        <v>2550</v>
      </c>
      <c r="AE32">
        <v>0.88500000000000001</v>
      </c>
      <c r="AF32">
        <v>0</v>
      </c>
    </row>
    <row r="33" spans="1:32" x14ac:dyDescent="0.3">
      <c r="A33">
        <v>32</v>
      </c>
      <c r="B33" t="s">
        <v>63</v>
      </c>
      <c r="C33">
        <v>27.2</v>
      </c>
      <c r="D33">
        <v>82</v>
      </c>
      <c r="E33">
        <v>20</v>
      </c>
      <c r="F33">
        <v>50</v>
      </c>
      <c r="G33">
        <v>12</v>
      </c>
      <c r="H33">
        <v>52</v>
      </c>
      <c r="I33">
        <v>0.317</v>
      </c>
      <c r="J33">
        <v>208</v>
      </c>
      <c r="K33">
        <v>310</v>
      </c>
      <c r="L33">
        <v>2</v>
      </c>
      <c r="M33">
        <v>5</v>
      </c>
      <c r="N33">
        <v>-1.24</v>
      </c>
      <c r="O33">
        <v>0.04</v>
      </c>
      <c r="P33">
        <v>2.54</v>
      </c>
      <c r="Q33">
        <v>3.78</v>
      </c>
      <c r="R33">
        <v>42</v>
      </c>
      <c r="S33">
        <v>226</v>
      </c>
      <c r="T33">
        <v>18.579999999999998</v>
      </c>
      <c r="U33">
        <v>66</v>
      </c>
      <c r="V33">
        <v>256</v>
      </c>
      <c r="W33">
        <v>74.22</v>
      </c>
      <c r="X33">
        <v>5</v>
      </c>
      <c r="Y33">
        <v>8</v>
      </c>
      <c r="Z33">
        <v>8.6999999999999993</v>
      </c>
      <c r="AA33">
        <v>8.6</v>
      </c>
      <c r="AB33">
        <v>2203</v>
      </c>
      <c r="AC33">
        <v>9.4</v>
      </c>
      <c r="AD33">
        <v>2606</v>
      </c>
      <c r="AE33">
        <v>0.88100000000000001</v>
      </c>
      <c r="AF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CBE1-D5F6-4DEC-B0DA-DFBE69B6184D}">
  <dimension ref="A1:AG33"/>
  <sheetViews>
    <sheetView tabSelected="1" workbookViewId="0">
      <selection activeCell="AN42" sqref="AN42"/>
    </sheetView>
  </sheetViews>
  <sheetFormatPr defaultRowHeight="14.4" x14ac:dyDescent="0.3"/>
  <cols>
    <col min="1" max="1" width="12.88671875" style="1" customWidth="1"/>
    <col min="2" max="2" width="19.5546875" bestFit="1" customWidth="1"/>
    <col min="3" max="3" width="10.6640625" style="1" hidden="1" customWidth="1"/>
    <col min="4" max="6" width="8.88671875" style="1"/>
    <col min="7" max="7" width="0" style="1" hidden="1" customWidth="1"/>
    <col min="8" max="8" width="11" style="1" customWidth="1"/>
    <col min="9" max="9" width="15.44140625" style="1" customWidth="1"/>
    <col min="10" max="11" width="0" style="1" hidden="1" customWidth="1"/>
    <col min="12" max="12" width="13.88671875" style="1" hidden="1" customWidth="1"/>
    <col min="13" max="20" width="0" style="1" hidden="1" customWidth="1"/>
    <col min="21" max="21" width="13.44140625" style="1" customWidth="1"/>
    <col min="22" max="23" width="0" style="1" hidden="1" customWidth="1"/>
    <col min="24" max="24" width="13.6640625" style="1" customWidth="1"/>
    <col min="25" max="26" width="0" style="1" hidden="1" customWidth="1"/>
    <col min="27" max="27" width="12.21875" style="1" hidden="1" customWidth="1"/>
    <col min="28" max="28" width="9.6640625" style="1" hidden="1" customWidth="1"/>
    <col min="29" max="29" width="0" style="1" hidden="1" customWidth="1"/>
    <col min="30" max="30" width="17.33203125" style="1" customWidth="1"/>
    <col min="31" max="31" width="0" style="1" hidden="1" customWidth="1"/>
    <col min="32" max="32" width="15" style="1" customWidth="1"/>
    <col min="33" max="33" width="0" style="1" hidden="1" customWidth="1"/>
  </cols>
  <sheetData>
    <row r="1" spans="1:33" ht="15.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64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1" t="s">
        <v>31</v>
      </c>
    </row>
    <row r="2" spans="1:33" ht="15.6" x14ac:dyDescent="0.35">
      <c r="A2" s="2">
        <v>1</v>
      </c>
      <c r="B2" s="3" t="s">
        <v>32</v>
      </c>
      <c r="C2" s="2">
        <v>29.7</v>
      </c>
      <c r="D2" s="2">
        <v>82</v>
      </c>
      <c r="E2" s="2">
        <v>56</v>
      </c>
      <c r="F2" s="2">
        <v>22</v>
      </c>
      <c r="G2" s="2">
        <v>4</v>
      </c>
      <c r="H2" s="2">
        <v>116</v>
      </c>
      <c r="I2" s="4">
        <v>0.70699999999999996</v>
      </c>
      <c r="J2" s="2">
        <v>275</v>
      </c>
      <c r="K2" s="2">
        <v>190</v>
      </c>
      <c r="L2" s="4">
        <f>(Table1[[#This Row],[GF]]^2)/(Table1[[#This Row],[GF]]^2+Table1[[#This Row],[GA]]^2)</f>
        <v>0.6768852092190647</v>
      </c>
      <c r="M2" s="2">
        <v>2</v>
      </c>
      <c r="N2" s="2">
        <v>1</v>
      </c>
      <c r="O2" s="2">
        <v>1.02</v>
      </c>
      <c r="P2" s="2">
        <v>-0.03</v>
      </c>
      <c r="Q2" s="2">
        <v>3.35</v>
      </c>
      <c r="R2" s="2">
        <v>2.3199999999999998</v>
      </c>
      <c r="S2" s="2">
        <v>63</v>
      </c>
      <c r="T2" s="2">
        <v>218</v>
      </c>
      <c r="U2" s="5">
        <v>28.9</v>
      </c>
      <c r="V2" s="2">
        <v>41</v>
      </c>
      <c r="W2" s="2">
        <v>199</v>
      </c>
      <c r="X2" s="5">
        <v>79.400000000000006</v>
      </c>
      <c r="Y2" s="2">
        <v>4</v>
      </c>
      <c r="Z2" s="2">
        <v>4</v>
      </c>
      <c r="AA2" s="5">
        <v>7.2</v>
      </c>
      <c r="AB2" s="2">
        <v>7.9</v>
      </c>
      <c r="AC2" s="2">
        <v>2314</v>
      </c>
      <c r="AD2" s="5">
        <v>11.9</v>
      </c>
      <c r="AE2" s="2">
        <v>2229</v>
      </c>
      <c r="AF2" s="4">
        <v>0.91500000000000004</v>
      </c>
      <c r="AG2" s="1">
        <v>10</v>
      </c>
    </row>
    <row r="3" spans="1:33" ht="15.6" x14ac:dyDescent="0.35">
      <c r="A3" s="2">
        <v>2</v>
      </c>
      <c r="B3" s="3" t="s">
        <v>33</v>
      </c>
      <c r="C3" s="2">
        <v>29.5</v>
      </c>
      <c r="D3" s="2">
        <v>82</v>
      </c>
      <c r="E3" s="2">
        <v>51</v>
      </c>
      <c r="F3" s="2">
        <v>22</v>
      </c>
      <c r="G3" s="2">
        <v>9</v>
      </c>
      <c r="H3" s="2">
        <v>111</v>
      </c>
      <c r="I3" s="4">
        <v>0.67700000000000005</v>
      </c>
      <c r="J3" s="2">
        <v>286</v>
      </c>
      <c r="K3" s="2">
        <v>229</v>
      </c>
      <c r="L3" s="4">
        <f>(Table1[[#This Row],[GF]]^2)/(Table1[[#This Row],[GF]]^2+Table1[[#This Row],[GA]]^2)</f>
        <v>0.60934019681607898</v>
      </c>
      <c r="M3" s="2">
        <v>2</v>
      </c>
      <c r="N3" s="2">
        <v>3</v>
      </c>
      <c r="O3" s="2">
        <v>0.66</v>
      </c>
      <c r="P3" s="2">
        <v>-0.03</v>
      </c>
      <c r="Q3" s="2">
        <v>3.49</v>
      </c>
      <c r="R3" s="2">
        <v>2.79</v>
      </c>
      <c r="S3" s="2">
        <v>52</v>
      </c>
      <c r="T3" s="2">
        <v>221</v>
      </c>
      <c r="U3" s="5">
        <v>23.53</v>
      </c>
      <c r="V3" s="2">
        <v>43</v>
      </c>
      <c r="W3" s="2">
        <v>239</v>
      </c>
      <c r="X3" s="5">
        <v>82.01</v>
      </c>
      <c r="Y3" s="2">
        <v>8</v>
      </c>
      <c r="Z3" s="2">
        <v>7</v>
      </c>
      <c r="AA3" s="5">
        <v>9.5</v>
      </c>
      <c r="AB3" s="2">
        <v>8.9</v>
      </c>
      <c r="AC3" s="2">
        <v>2265</v>
      </c>
      <c r="AD3" s="5">
        <v>12.6</v>
      </c>
      <c r="AE3" s="2">
        <v>2229</v>
      </c>
      <c r="AF3" s="4">
        <v>0.89700000000000002</v>
      </c>
      <c r="AG3" s="1">
        <v>3</v>
      </c>
    </row>
    <row r="4" spans="1:33" ht="15.6" x14ac:dyDescent="0.35">
      <c r="A4" s="2">
        <v>3</v>
      </c>
      <c r="B4" s="3" t="s">
        <v>34</v>
      </c>
      <c r="C4" s="2">
        <v>29.4</v>
      </c>
      <c r="D4" s="2">
        <v>82</v>
      </c>
      <c r="E4" s="2">
        <v>50</v>
      </c>
      <c r="F4" s="2">
        <v>22</v>
      </c>
      <c r="G4" s="2">
        <v>10</v>
      </c>
      <c r="H4" s="2">
        <v>110</v>
      </c>
      <c r="I4" s="4">
        <v>0.67100000000000004</v>
      </c>
      <c r="J4" s="2">
        <v>274</v>
      </c>
      <c r="K4" s="2">
        <v>214</v>
      </c>
      <c r="L4" s="4">
        <f>(Table1[[#This Row],[GF]]^2)/(Table1[[#This Row],[GF]]^2+Table1[[#This Row],[GA]]^2)</f>
        <v>0.62111986233370842</v>
      </c>
      <c r="M4" s="2">
        <v>1</v>
      </c>
      <c r="N4" s="2">
        <v>5</v>
      </c>
      <c r="O4" s="2">
        <v>0.65</v>
      </c>
      <c r="P4" s="2">
        <v>-0.03</v>
      </c>
      <c r="Q4" s="2">
        <v>3.34</v>
      </c>
      <c r="R4" s="2">
        <v>2.61</v>
      </c>
      <c r="S4" s="2">
        <v>53</v>
      </c>
      <c r="T4" s="2">
        <v>187</v>
      </c>
      <c r="U4" s="5">
        <v>28.34</v>
      </c>
      <c r="V4" s="2">
        <v>41</v>
      </c>
      <c r="W4" s="2">
        <v>169</v>
      </c>
      <c r="X4" s="5">
        <v>75.739999999999995</v>
      </c>
      <c r="Y4" s="2">
        <v>6</v>
      </c>
      <c r="Z4" s="2">
        <v>3</v>
      </c>
      <c r="AA4" s="5">
        <v>5.6</v>
      </c>
      <c r="AB4" s="2">
        <v>6.2</v>
      </c>
      <c r="AC4" s="2">
        <v>2482</v>
      </c>
      <c r="AD4" s="5">
        <v>11</v>
      </c>
      <c r="AE4" s="2">
        <v>2141</v>
      </c>
      <c r="AF4" s="4">
        <v>0.9</v>
      </c>
      <c r="AG4" s="1">
        <v>6</v>
      </c>
    </row>
    <row r="5" spans="1:33" ht="15.6" x14ac:dyDescent="0.35">
      <c r="A5" s="2">
        <v>4</v>
      </c>
      <c r="B5" s="3" t="s">
        <v>35</v>
      </c>
      <c r="C5" s="2">
        <v>29.4</v>
      </c>
      <c r="D5" s="2">
        <v>82</v>
      </c>
      <c r="E5" s="2">
        <v>52</v>
      </c>
      <c r="F5" s="2">
        <v>26</v>
      </c>
      <c r="G5" s="2">
        <v>4</v>
      </c>
      <c r="H5" s="2">
        <v>108</v>
      </c>
      <c r="I5" s="4">
        <v>0.65900000000000003</v>
      </c>
      <c r="J5" s="2">
        <v>267</v>
      </c>
      <c r="K5" s="2">
        <v>229</v>
      </c>
      <c r="L5" s="4">
        <f>(Table1[[#This Row],[GF]]^2)/(Table1[[#This Row],[GF]]^2+Table1[[#This Row],[GA]]^2)</f>
        <v>0.57616584498504808</v>
      </c>
      <c r="M5" s="2">
        <v>1</v>
      </c>
      <c r="N5" s="2">
        <v>2</v>
      </c>
      <c r="O5" s="2">
        <v>0.44</v>
      </c>
      <c r="P5" s="2">
        <v>-0.01</v>
      </c>
      <c r="Q5" s="2">
        <v>3.26</v>
      </c>
      <c r="R5" s="2">
        <v>2.79</v>
      </c>
      <c r="S5" s="2">
        <v>54</v>
      </c>
      <c r="T5" s="2">
        <v>218</v>
      </c>
      <c r="U5" s="5">
        <v>24.77</v>
      </c>
      <c r="V5" s="2">
        <v>52</v>
      </c>
      <c r="W5" s="2">
        <v>235</v>
      </c>
      <c r="X5" s="5">
        <v>77.87</v>
      </c>
      <c r="Y5" s="2">
        <v>6</v>
      </c>
      <c r="Z5" s="2">
        <v>7</v>
      </c>
      <c r="AA5" s="5">
        <v>8</v>
      </c>
      <c r="AB5" s="2">
        <v>7.5</v>
      </c>
      <c r="AC5" s="2">
        <v>2297</v>
      </c>
      <c r="AD5" s="5">
        <v>11.6</v>
      </c>
      <c r="AE5" s="2">
        <v>2405</v>
      </c>
      <c r="AF5" s="4">
        <v>0.90500000000000003</v>
      </c>
      <c r="AG5" s="1">
        <v>5</v>
      </c>
    </row>
    <row r="6" spans="1:33" ht="15.6" x14ac:dyDescent="0.35">
      <c r="A6" s="2">
        <v>5</v>
      </c>
      <c r="B6" s="3" t="s">
        <v>36</v>
      </c>
      <c r="C6" s="2">
        <v>28.5</v>
      </c>
      <c r="D6" s="2">
        <v>82</v>
      </c>
      <c r="E6" s="2">
        <v>50</v>
      </c>
      <c r="F6" s="2">
        <v>26</v>
      </c>
      <c r="G6" s="2">
        <v>6</v>
      </c>
      <c r="H6" s="2">
        <v>106</v>
      </c>
      <c r="I6" s="4">
        <v>0.64600000000000002</v>
      </c>
      <c r="J6" s="2">
        <v>275</v>
      </c>
      <c r="K6" s="2">
        <v>222</v>
      </c>
      <c r="L6" s="4">
        <f>(Table1[[#This Row],[GF]]^2)/(Table1[[#This Row],[GF]]^2+Table1[[#This Row],[GA]]^2)</f>
        <v>0.60544076087391618</v>
      </c>
      <c r="M6" s="2">
        <v>2</v>
      </c>
      <c r="N6" s="2">
        <v>2</v>
      </c>
      <c r="O6" s="2">
        <v>0.61</v>
      </c>
      <c r="P6" s="2">
        <v>-0.04</v>
      </c>
      <c r="Q6" s="2">
        <v>3.35</v>
      </c>
      <c r="R6" s="2">
        <v>2.71</v>
      </c>
      <c r="S6" s="2">
        <v>55</v>
      </c>
      <c r="T6" s="2">
        <v>250</v>
      </c>
      <c r="U6" s="5">
        <v>22</v>
      </c>
      <c r="V6" s="2">
        <v>41</v>
      </c>
      <c r="W6" s="2">
        <v>228</v>
      </c>
      <c r="X6" s="5">
        <v>82.02</v>
      </c>
      <c r="Y6" s="2">
        <v>8</v>
      </c>
      <c r="Z6" s="2">
        <v>4</v>
      </c>
      <c r="AA6" s="5">
        <v>7</v>
      </c>
      <c r="AB6" s="2">
        <v>7.8</v>
      </c>
      <c r="AC6" s="2">
        <v>2325</v>
      </c>
      <c r="AD6" s="5">
        <v>11.8</v>
      </c>
      <c r="AE6" s="2">
        <v>2382</v>
      </c>
      <c r="AF6" s="4">
        <v>0.90700000000000003</v>
      </c>
      <c r="AG6" s="1">
        <v>4</v>
      </c>
    </row>
    <row r="7" spans="1:33" ht="15.6" x14ac:dyDescent="0.35">
      <c r="A7" s="2">
        <v>6</v>
      </c>
      <c r="B7" s="3" t="s">
        <v>37</v>
      </c>
      <c r="C7" s="2">
        <v>29.4</v>
      </c>
      <c r="D7" s="2">
        <v>82</v>
      </c>
      <c r="E7" s="2">
        <v>48</v>
      </c>
      <c r="F7" s="2">
        <v>25</v>
      </c>
      <c r="G7" s="2">
        <v>9</v>
      </c>
      <c r="H7" s="2">
        <v>105</v>
      </c>
      <c r="I7" s="4">
        <v>0.64</v>
      </c>
      <c r="J7" s="2">
        <v>249</v>
      </c>
      <c r="K7" s="2">
        <v>203</v>
      </c>
      <c r="L7" s="4">
        <f>(Table1[[#This Row],[GF]]^2)/(Table1[[#This Row],[GF]]^2+Table1[[#This Row],[GA]]^2)</f>
        <v>0.60072667377192135</v>
      </c>
      <c r="M7" s="2">
        <v>1</v>
      </c>
      <c r="N7" s="2">
        <v>3</v>
      </c>
      <c r="O7" s="2">
        <v>0.5</v>
      </c>
      <c r="P7" s="2">
        <v>-0.04</v>
      </c>
      <c r="Q7" s="2">
        <v>3.04</v>
      </c>
      <c r="R7" s="2">
        <v>2.48</v>
      </c>
      <c r="S7" s="2">
        <v>37</v>
      </c>
      <c r="T7" s="2">
        <v>207</v>
      </c>
      <c r="U7" s="5">
        <v>17.87</v>
      </c>
      <c r="V7" s="2">
        <v>44</v>
      </c>
      <c r="W7" s="2">
        <v>237</v>
      </c>
      <c r="X7" s="5">
        <v>81.430000000000007</v>
      </c>
      <c r="Y7" s="2">
        <v>4</v>
      </c>
      <c r="Z7" s="2">
        <v>6</v>
      </c>
      <c r="AA7" s="5">
        <v>7.8</v>
      </c>
      <c r="AB7" s="2">
        <v>7.8</v>
      </c>
      <c r="AC7" s="2">
        <v>2302</v>
      </c>
      <c r="AD7" s="5">
        <v>10.8</v>
      </c>
      <c r="AE7" s="2">
        <v>2091</v>
      </c>
      <c r="AF7" s="4">
        <v>0.90300000000000002</v>
      </c>
      <c r="AG7" s="1">
        <v>6</v>
      </c>
    </row>
    <row r="8" spans="1:33" ht="15.6" x14ac:dyDescent="0.35">
      <c r="A8" s="2">
        <v>7</v>
      </c>
      <c r="B8" s="3" t="s">
        <v>38</v>
      </c>
      <c r="C8" s="2">
        <v>29.7</v>
      </c>
      <c r="D8" s="2">
        <v>82</v>
      </c>
      <c r="E8" s="2">
        <v>47</v>
      </c>
      <c r="F8" s="2">
        <v>27</v>
      </c>
      <c r="G8" s="2">
        <v>8</v>
      </c>
      <c r="H8" s="2">
        <v>102</v>
      </c>
      <c r="I8" s="4">
        <v>0.622</v>
      </c>
      <c r="J8" s="2">
        <v>292</v>
      </c>
      <c r="K8" s="2">
        <v>216</v>
      </c>
      <c r="L8" s="4">
        <f>(Table1[[#This Row],[GF]]^2)/(Table1[[#This Row],[GF]]^2+Table1[[#This Row],[GA]]^2)</f>
        <v>0.64633110976349306</v>
      </c>
      <c r="M8" s="2">
        <v>2</v>
      </c>
      <c r="N8" s="2">
        <v>3</v>
      </c>
      <c r="O8" s="2">
        <v>0.89</v>
      </c>
      <c r="P8" s="2">
        <v>-0.03</v>
      </c>
      <c r="Q8" s="2">
        <v>3.56</v>
      </c>
      <c r="R8" s="2">
        <v>2.63</v>
      </c>
      <c r="S8" s="2">
        <v>60</v>
      </c>
      <c r="T8" s="2">
        <v>232</v>
      </c>
      <c r="U8" s="5">
        <v>25.86</v>
      </c>
      <c r="V8" s="2">
        <v>38</v>
      </c>
      <c r="W8" s="2">
        <v>206</v>
      </c>
      <c r="X8" s="5">
        <v>81.55</v>
      </c>
      <c r="Y8" s="2">
        <v>11</v>
      </c>
      <c r="Z8" s="2">
        <v>13</v>
      </c>
      <c r="AA8" s="5">
        <v>8.1</v>
      </c>
      <c r="AB8" s="2">
        <v>9.3000000000000007</v>
      </c>
      <c r="AC8" s="2">
        <v>2341</v>
      </c>
      <c r="AD8" s="5">
        <v>12.5</v>
      </c>
      <c r="AE8" s="2">
        <v>2311</v>
      </c>
      <c r="AF8" s="4">
        <v>0.90700000000000003</v>
      </c>
      <c r="AG8" s="1">
        <v>7</v>
      </c>
    </row>
    <row r="9" spans="1:33" ht="15.6" x14ac:dyDescent="0.35">
      <c r="A9" s="2">
        <v>8</v>
      </c>
      <c r="B9" s="3" t="s">
        <v>39</v>
      </c>
      <c r="C9" s="2">
        <v>28.7</v>
      </c>
      <c r="D9" s="2">
        <v>82</v>
      </c>
      <c r="E9" s="2">
        <v>49</v>
      </c>
      <c r="F9" s="2">
        <v>29</v>
      </c>
      <c r="G9" s="2">
        <v>4</v>
      </c>
      <c r="H9" s="2">
        <v>102</v>
      </c>
      <c r="I9" s="4">
        <v>0.622</v>
      </c>
      <c r="J9" s="2">
        <v>273</v>
      </c>
      <c r="K9" s="2">
        <v>231</v>
      </c>
      <c r="L9" s="4">
        <f>(Table1[[#This Row],[GF]]^2)/(Table1[[#This Row],[GF]]^2+Table1[[#This Row],[GA]]^2)</f>
        <v>0.58275862068965523</v>
      </c>
      <c r="M9" s="2">
        <v>4</v>
      </c>
      <c r="N9" s="2">
        <v>3</v>
      </c>
      <c r="O9" s="2">
        <v>0.5</v>
      </c>
      <c r="P9" s="2">
        <v>-0.03</v>
      </c>
      <c r="Q9" s="2">
        <v>3.33</v>
      </c>
      <c r="R9" s="2">
        <v>2.82</v>
      </c>
      <c r="S9" s="2">
        <v>58</v>
      </c>
      <c r="T9" s="2">
        <v>234</v>
      </c>
      <c r="U9" s="5">
        <v>24.79</v>
      </c>
      <c r="V9" s="2">
        <v>42</v>
      </c>
      <c r="W9" s="2">
        <v>208</v>
      </c>
      <c r="X9" s="5">
        <v>79.81</v>
      </c>
      <c r="Y9" s="2">
        <v>5</v>
      </c>
      <c r="Z9" s="2">
        <v>7</v>
      </c>
      <c r="AA9" s="5">
        <v>6.8</v>
      </c>
      <c r="AB9" s="2">
        <v>7.2</v>
      </c>
      <c r="AC9" s="2">
        <v>2451</v>
      </c>
      <c r="AD9" s="5">
        <v>11.1</v>
      </c>
      <c r="AE9" s="2">
        <v>2126</v>
      </c>
      <c r="AF9" s="4">
        <v>0.89100000000000001</v>
      </c>
      <c r="AG9" s="1">
        <v>5</v>
      </c>
    </row>
    <row r="10" spans="1:33" ht="15.6" x14ac:dyDescent="0.35">
      <c r="A10" s="2">
        <v>9</v>
      </c>
      <c r="B10" s="3" t="s">
        <v>40</v>
      </c>
      <c r="C10" s="2">
        <v>30.4</v>
      </c>
      <c r="D10" s="2">
        <v>82</v>
      </c>
      <c r="E10" s="2">
        <v>48</v>
      </c>
      <c r="F10" s="2">
        <v>29</v>
      </c>
      <c r="G10" s="2">
        <v>5</v>
      </c>
      <c r="H10" s="2">
        <v>101</v>
      </c>
      <c r="I10" s="4">
        <v>0.61599999999999999</v>
      </c>
      <c r="J10" s="2">
        <v>259</v>
      </c>
      <c r="K10" s="2">
        <v>235</v>
      </c>
      <c r="L10" s="4">
        <f>(Table1[[#This Row],[GF]]^2)/(Table1[[#This Row],[GF]]^2+Table1[[#This Row],[GA]]^2)</f>
        <v>0.54846859516295199</v>
      </c>
      <c r="M10" s="2">
        <v>0</v>
      </c>
      <c r="N10" s="2">
        <v>1</v>
      </c>
      <c r="O10" s="2">
        <v>0.26</v>
      </c>
      <c r="P10" s="2">
        <v>-0.02</v>
      </c>
      <c r="Q10" s="2">
        <v>3.16</v>
      </c>
      <c r="R10" s="2">
        <v>2.87</v>
      </c>
      <c r="S10" s="2">
        <v>51</v>
      </c>
      <c r="T10" s="2">
        <v>215</v>
      </c>
      <c r="U10" s="5">
        <v>23.72</v>
      </c>
      <c r="V10" s="2">
        <v>45</v>
      </c>
      <c r="W10" s="2">
        <v>206</v>
      </c>
      <c r="X10" s="5">
        <v>78.16</v>
      </c>
      <c r="Y10" s="2">
        <v>5</v>
      </c>
      <c r="Z10" s="2">
        <v>4</v>
      </c>
      <c r="AA10" s="5">
        <v>7.5</v>
      </c>
      <c r="AB10" s="2">
        <v>7.6</v>
      </c>
      <c r="AC10" s="2">
        <v>2622</v>
      </c>
      <c r="AD10" s="5">
        <v>9.9</v>
      </c>
      <c r="AE10" s="2">
        <v>2211</v>
      </c>
      <c r="AF10" s="4">
        <v>0.89400000000000002</v>
      </c>
      <c r="AG10" s="1">
        <v>4</v>
      </c>
    </row>
    <row r="11" spans="1:33" ht="15.6" x14ac:dyDescent="0.35">
      <c r="A11" s="2">
        <v>10</v>
      </c>
      <c r="B11" s="3" t="s">
        <v>41</v>
      </c>
      <c r="C11" s="2">
        <v>29.6</v>
      </c>
      <c r="D11" s="2">
        <v>82</v>
      </c>
      <c r="E11" s="2">
        <v>47</v>
      </c>
      <c r="F11" s="2">
        <v>30</v>
      </c>
      <c r="G11" s="2">
        <v>5</v>
      </c>
      <c r="H11" s="2">
        <v>99</v>
      </c>
      <c r="I11" s="4">
        <v>0.60399999999999998</v>
      </c>
      <c r="J11" s="2">
        <v>266</v>
      </c>
      <c r="K11" s="2">
        <v>230</v>
      </c>
      <c r="L11" s="4">
        <f>(Table1[[#This Row],[GF]]^2)/(Table1[[#This Row],[GF]]^2+Table1[[#This Row],[GA]]^2)</f>
        <v>0.57220029759979296</v>
      </c>
      <c r="M11" s="2">
        <v>0</v>
      </c>
      <c r="N11" s="2">
        <v>3</v>
      </c>
      <c r="O11" s="2">
        <v>0.4</v>
      </c>
      <c r="P11" s="2">
        <v>0</v>
      </c>
      <c r="Q11" s="2">
        <v>3.24</v>
      </c>
      <c r="R11" s="2">
        <v>2.8</v>
      </c>
      <c r="S11" s="2">
        <v>46</v>
      </c>
      <c r="T11" s="2">
        <v>246</v>
      </c>
      <c r="U11" s="5">
        <v>18.7</v>
      </c>
      <c r="V11" s="2">
        <v>40</v>
      </c>
      <c r="W11" s="2">
        <v>244</v>
      </c>
      <c r="X11" s="5">
        <v>83.61</v>
      </c>
      <c r="Y11" s="2">
        <v>10</v>
      </c>
      <c r="Z11" s="2">
        <v>5</v>
      </c>
      <c r="AA11" s="5">
        <v>7.9</v>
      </c>
      <c r="AB11" s="2">
        <v>8.1</v>
      </c>
      <c r="AC11" s="2">
        <v>2599</v>
      </c>
      <c r="AD11" s="5">
        <v>10.199999999999999</v>
      </c>
      <c r="AE11" s="2">
        <v>2044</v>
      </c>
      <c r="AF11" s="4">
        <v>0.88700000000000001</v>
      </c>
      <c r="AG11" s="1">
        <v>5</v>
      </c>
    </row>
    <row r="12" spans="1:33" ht="15.6" x14ac:dyDescent="0.35">
      <c r="A12" s="2">
        <v>11</v>
      </c>
      <c r="B12" s="3" t="s">
        <v>42</v>
      </c>
      <c r="C12" s="2">
        <v>29.6</v>
      </c>
      <c r="D12" s="2">
        <v>82</v>
      </c>
      <c r="E12" s="2">
        <v>47</v>
      </c>
      <c r="F12" s="2">
        <v>31</v>
      </c>
      <c r="G12" s="2">
        <v>4</v>
      </c>
      <c r="H12" s="2">
        <v>98</v>
      </c>
      <c r="I12" s="4">
        <v>0.59799999999999998</v>
      </c>
      <c r="J12" s="2">
        <v>246</v>
      </c>
      <c r="K12" s="2">
        <v>223</v>
      </c>
      <c r="L12" s="4">
        <f>(Table1[[#This Row],[GF]]^2)/(Table1[[#This Row],[GF]]^2+Table1[[#This Row],[GA]]^2)</f>
        <v>0.54892285364415616</v>
      </c>
      <c r="M12" s="2">
        <v>6</v>
      </c>
      <c r="N12" s="2">
        <v>0</v>
      </c>
      <c r="O12" s="2">
        <v>0.35</v>
      </c>
      <c r="P12" s="2">
        <v>-0.01</v>
      </c>
      <c r="Q12" s="2">
        <v>3</v>
      </c>
      <c r="R12" s="2">
        <v>2.72</v>
      </c>
      <c r="S12" s="2">
        <v>56</v>
      </c>
      <c r="T12" s="2">
        <v>238</v>
      </c>
      <c r="U12" s="5">
        <v>23.53</v>
      </c>
      <c r="V12" s="2">
        <v>47</v>
      </c>
      <c r="W12" s="2">
        <v>244</v>
      </c>
      <c r="X12" s="5">
        <v>80.739999999999995</v>
      </c>
      <c r="Y12" s="2">
        <v>12</v>
      </c>
      <c r="Z12" s="2">
        <v>10</v>
      </c>
      <c r="AA12" s="5">
        <v>10.4</v>
      </c>
      <c r="AB12" s="2">
        <v>9.5</v>
      </c>
      <c r="AC12" s="2">
        <v>2588</v>
      </c>
      <c r="AD12" s="5">
        <v>9.5</v>
      </c>
      <c r="AE12" s="2">
        <v>2146</v>
      </c>
      <c r="AF12" s="4">
        <v>0.89600000000000002</v>
      </c>
      <c r="AG12" s="1">
        <v>8</v>
      </c>
    </row>
    <row r="13" spans="1:33" ht="15.6" x14ac:dyDescent="0.35">
      <c r="A13" s="2">
        <v>12</v>
      </c>
      <c r="B13" s="3" t="s">
        <v>43</v>
      </c>
      <c r="C13" s="2">
        <v>29.7</v>
      </c>
      <c r="D13" s="2">
        <v>82</v>
      </c>
      <c r="E13" s="2">
        <v>45</v>
      </c>
      <c r="F13" s="2">
        <v>30</v>
      </c>
      <c r="G13" s="2">
        <v>7</v>
      </c>
      <c r="H13" s="2">
        <v>97</v>
      </c>
      <c r="I13" s="4">
        <v>0.59099999999999997</v>
      </c>
      <c r="J13" s="2">
        <v>225</v>
      </c>
      <c r="K13" s="2">
        <v>236</v>
      </c>
      <c r="L13" s="4">
        <f>(Table1[[#This Row],[GF]]^2)/(Table1[[#This Row],[GF]]^2+Table1[[#This Row],[GA]]^2)</f>
        <v>0.47615240639196393</v>
      </c>
      <c r="M13" s="2">
        <v>3</v>
      </c>
      <c r="N13" s="2">
        <v>3</v>
      </c>
      <c r="O13" s="2">
        <v>-0.13</v>
      </c>
      <c r="P13" s="2">
        <v>0.01</v>
      </c>
      <c r="Q13" s="2">
        <v>2.74</v>
      </c>
      <c r="R13" s="2">
        <v>2.88</v>
      </c>
      <c r="S13" s="2">
        <v>43</v>
      </c>
      <c r="T13" s="2">
        <v>206</v>
      </c>
      <c r="U13" s="5">
        <v>20.87</v>
      </c>
      <c r="V13" s="2">
        <v>56</v>
      </c>
      <c r="W13" s="2">
        <v>203</v>
      </c>
      <c r="X13" s="5">
        <v>72.41</v>
      </c>
      <c r="Y13" s="2">
        <v>4</v>
      </c>
      <c r="Z13" s="2">
        <v>4</v>
      </c>
      <c r="AA13" s="5">
        <v>7.6</v>
      </c>
      <c r="AB13" s="2">
        <v>7.5</v>
      </c>
      <c r="AC13" s="2">
        <v>2263</v>
      </c>
      <c r="AD13" s="5">
        <v>9.9</v>
      </c>
      <c r="AE13" s="2">
        <v>2427</v>
      </c>
      <c r="AF13" s="4">
        <v>0.90300000000000002</v>
      </c>
      <c r="AG13" s="1">
        <v>6</v>
      </c>
    </row>
    <row r="14" spans="1:33" ht="15.6" x14ac:dyDescent="0.35">
      <c r="A14" s="2">
        <v>13</v>
      </c>
      <c r="B14" s="3" t="s">
        <v>44</v>
      </c>
      <c r="C14" s="2">
        <v>28.2</v>
      </c>
      <c r="D14" s="2">
        <v>82</v>
      </c>
      <c r="E14" s="2">
        <v>45</v>
      </c>
      <c r="F14" s="2">
        <v>30</v>
      </c>
      <c r="G14" s="2">
        <v>7</v>
      </c>
      <c r="H14" s="2">
        <v>97</v>
      </c>
      <c r="I14" s="4">
        <v>0.59099999999999997</v>
      </c>
      <c r="J14" s="2">
        <v>242</v>
      </c>
      <c r="K14" s="2">
        <v>232</v>
      </c>
      <c r="L14" s="4">
        <f>(Table1[[#This Row],[GF]]^2)/(Table1[[#This Row],[GF]]^2+Table1[[#This Row],[GA]]^2)</f>
        <v>0.52108766060433498</v>
      </c>
      <c r="M14" s="2">
        <v>1</v>
      </c>
      <c r="N14" s="2">
        <v>2</v>
      </c>
      <c r="O14" s="2">
        <v>0.11</v>
      </c>
      <c r="P14" s="2">
        <v>-0.01</v>
      </c>
      <c r="Q14" s="2">
        <v>2.95</v>
      </c>
      <c r="R14" s="2">
        <v>2.83</v>
      </c>
      <c r="S14" s="2">
        <v>64</v>
      </c>
      <c r="T14" s="2">
        <v>269</v>
      </c>
      <c r="U14" s="5">
        <v>23.79</v>
      </c>
      <c r="V14" s="2">
        <v>51</v>
      </c>
      <c r="W14" s="2">
        <v>229</v>
      </c>
      <c r="X14" s="5">
        <v>77.73</v>
      </c>
      <c r="Y14" s="2">
        <v>9</v>
      </c>
      <c r="Z14" s="2">
        <v>3</v>
      </c>
      <c r="AA14" s="5">
        <v>8.5</v>
      </c>
      <c r="AB14" s="2">
        <v>10</v>
      </c>
      <c r="AC14" s="2">
        <v>2403</v>
      </c>
      <c r="AD14" s="5">
        <v>10.1</v>
      </c>
      <c r="AE14" s="2">
        <v>2346</v>
      </c>
      <c r="AF14" s="4">
        <v>0.90100000000000002</v>
      </c>
      <c r="AG14" s="1">
        <v>10</v>
      </c>
    </row>
    <row r="15" spans="1:33" ht="15.6" x14ac:dyDescent="0.35">
      <c r="A15" s="2">
        <v>14</v>
      </c>
      <c r="B15" s="3" t="s">
        <v>45</v>
      </c>
      <c r="C15" s="2">
        <v>28.4</v>
      </c>
      <c r="D15" s="2">
        <v>82</v>
      </c>
      <c r="E15" s="2">
        <v>41</v>
      </c>
      <c r="F15" s="2">
        <v>27</v>
      </c>
      <c r="G15" s="2">
        <v>14</v>
      </c>
      <c r="H15" s="2">
        <v>96</v>
      </c>
      <c r="I15" s="4">
        <v>0.58499999999999996</v>
      </c>
      <c r="J15" s="2">
        <v>220</v>
      </c>
      <c r="K15" s="2">
        <v>236</v>
      </c>
      <c r="L15" s="4">
        <f>(Table1[[#This Row],[GF]]^2)/(Table1[[#This Row],[GF]]^2+Table1[[#This Row],[GA]]^2)</f>
        <v>0.46495542576083615</v>
      </c>
      <c r="M15" s="2">
        <v>5</v>
      </c>
      <c r="N15" s="2">
        <v>2</v>
      </c>
      <c r="O15" s="2">
        <v>-0.17</v>
      </c>
      <c r="P15" s="2">
        <v>-0.02</v>
      </c>
      <c r="Q15" s="2">
        <v>2.68</v>
      </c>
      <c r="R15" s="2">
        <v>2.88</v>
      </c>
      <c r="S15" s="2">
        <v>49</v>
      </c>
      <c r="T15" s="2">
        <v>233</v>
      </c>
      <c r="U15" s="5">
        <v>21.03</v>
      </c>
      <c r="V15" s="2">
        <v>54</v>
      </c>
      <c r="W15" s="2">
        <v>226</v>
      </c>
      <c r="X15" s="5">
        <v>76.11</v>
      </c>
      <c r="Y15" s="2">
        <v>7</v>
      </c>
      <c r="Z15" s="2">
        <v>6</v>
      </c>
      <c r="AA15" s="5">
        <v>9.1999999999999993</v>
      </c>
      <c r="AB15" s="2">
        <v>9.6</v>
      </c>
      <c r="AC15" s="2">
        <v>2414</v>
      </c>
      <c r="AD15" s="5">
        <v>9.1</v>
      </c>
      <c r="AE15" s="2">
        <v>2372</v>
      </c>
      <c r="AF15" s="4">
        <v>0.90100000000000002</v>
      </c>
      <c r="AG15" s="1">
        <v>5</v>
      </c>
    </row>
    <row r="16" spans="1:33" ht="15.6" x14ac:dyDescent="0.35">
      <c r="A16" s="2">
        <v>15</v>
      </c>
      <c r="B16" s="3" t="s">
        <v>46</v>
      </c>
      <c r="C16" s="2">
        <v>29.3</v>
      </c>
      <c r="D16" s="2">
        <v>82</v>
      </c>
      <c r="E16" s="2">
        <v>44</v>
      </c>
      <c r="F16" s="2">
        <v>30</v>
      </c>
      <c r="G16" s="2">
        <v>8</v>
      </c>
      <c r="H16" s="2">
        <v>96</v>
      </c>
      <c r="I16" s="4">
        <v>0.58499999999999996</v>
      </c>
      <c r="J16" s="2">
        <v>250</v>
      </c>
      <c r="K16" s="2">
        <v>231</v>
      </c>
      <c r="L16" s="4">
        <f>(Table1[[#This Row],[GF]]^2)/(Table1[[#This Row],[GF]]^2+Table1[[#This Row],[GA]]^2)</f>
        <v>0.53943950078110836</v>
      </c>
      <c r="M16" s="2">
        <v>4</v>
      </c>
      <c r="N16" s="2">
        <v>2</v>
      </c>
      <c r="O16" s="2">
        <v>0.25</v>
      </c>
      <c r="P16" s="2">
        <v>-0.01</v>
      </c>
      <c r="Q16" s="2">
        <v>3.05</v>
      </c>
      <c r="R16" s="2">
        <v>2.82</v>
      </c>
      <c r="S16" s="2">
        <v>43</v>
      </c>
      <c r="T16" s="2">
        <v>195</v>
      </c>
      <c r="U16" s="5">
        <v>22.05</v>
      </c>
      <c r="V16" s="2">
        <v>49</v>
      </c>
      <c r="W16" s="2">
        <v>191</v>
      </c>
      <c r="X16" s="5">
        <v>74.349999999999994</v>
      </c>
      <c r="Y16" s="2">
        <v>4</v>
      </c>
      <c r="Z16" s="2">
        <v>5</v>
      </c>
      <c r="AA16" s="5">
        <v>7.5</v>
      </c>
      <c r="AB16" s="2">
        <v>8.1999999999999993</v>
      </c>
      <c r="AC16" s="2">
        <v>2185</v>
      </c>
      <c r="AD16" s="5">
        <v>11.4</v>
      </c>
      <c r="AE16" s="2">
        <v>2236</v>
      </c>
      <c r="AF16" s="4">
        <v>0.89700000000000002</v>
      </c>
      <c r="AG16" s="1">
        <v>4</v>
      </c>
    </row>
    <row r="17" spans="1:33" ht="15.6" x14ac:dyDescent="0.35">
      <c r="A17" s="2">
        <v>16</v>
      </c>
      <c r="B17" s="3" t="s">
        <v>47</v>
      </c>
      <c r="C17" s="2">
        <v>26.9</v>
      </c>
      <c r="D17" s="2">
        <v>82</v>
      </c>
      <c r="E17" s="2">
        <v>40</v>
      </c>
      <c r="F17" s="2">
        <v>31</v>
      </c>
      <c r="G17" s="2">
        <v>11</v>
      </c>
      <c r="H17" s="2">
        <v>91</v>
      </c>
      <c r="I17" s="4">
        <v>0.55500000000000005</v>
      </c>
      <c r="J17" s="2">
        <v>243</v>
      </c>
      <c r="K17" s="2">
        <v>261</v>
      </c>
      <c r="L17" s="4">
        <f>(Table1[[#This Row],[GF]]^2)/(Table1[[#This Row],[GF]]^2+Table1[[#This Row],[GA]]^2)</f>
        <v>0.46433121019108281</v>
      </c>
      <c r="M17" s="2">
        <v>2</v>
      </c>
      <c r="N17" s="2">
        <v>4</v>
      </c>
      <c r="O17" s="2">
        <v>-0.23</v>
      </c>
      <c r="P17" s="2">
        <v>0.02</v>
      </c>
      <c r="Q17" s="2">
        <v>2.96</v>
      </c>
      <c r="R17" s="2">
        <v>3.18</v>
      </c>
      <c r="S17" s="2">
        <v>47</v>
      </c>
      <c r="T17" s="2">
        <v>234</v>
      </c>
      <c r="U17" s="5">
        <v>20.09</v>
      </c>
      <c r="V17" s="2">
        <v>49</v>
      </c>
      <c r="W17" s="2">
        <v>257</v>
      </c>
      <c r="X17" s="5">
        <v>80.930000000000007</v>
      </c>
      <c r="Y17" s="2">
        <v>9</v>
      </c>
      <c r="Z17" s="2">
        <v>6</v>
      </c>
      <c r="AA17" s="5">
        <v>9.3000000000000007</v>
      </c>
      <c r="AB17" s="2">
        <v>8.3000000000000007</v>
      </c>
      <c r="AC17" s="2">
        <v>2095</v>
      </c>
      <c r="AD17" s="5">
        <v>11.6</v>
      </c>
      <c r="AE17" s="2">
        <v>2383</v>
      </c>
      <c r="AF17" s="4">
        <v>0.89</v>
      </c>
      <c r="AG17" s="1">
        <v>5</v>
      </c>
    </row>
    <row r="18" spans="1:33" ht="15.6" x14ac:dyDescent="0.35">
      <c r="A18" s="2">
        <v>17</v>
      </c>
      <c r="B18" s="3" t="s">
        <v>48</v>
      </c>
      <c r="C18" s="2">
        <v>29.6</v>
      </c>
      <c r="D18" s="2">
        <v>82</v>
      </c>
      <c r="E18" s="2">
        <v>42</v>
      </c>
      <c r="F18" s="2">
        <v>33</v>
      </c>
      <c r="G18" s="2">
        <v>7</v>
      </c>
      <c r="H18" s="2">
        <v>91</v>
      </c>
      <c r="I18" s="4">
        <v>0.55500000000000005</v>
      </c>
      <c r="J18" s="2">
        <v>240</v>
      </c>
      <c r="K18" s="2">
        <v>220</v>
      </c>
      <c r="L18" s="4">
        <f>(Table1[[#This Row],[GF]]^2)/(Table1[[#This Row],[GF]]^2+Table1[[#This Row],[GA]]^2)</f>
        <v>0.54339622641509433</v>
      </c>
      <c r="M18" s="2">
        <v>2</v>
      </c>
      <c r="N18" s="2">
        <v>2</v>
      </c>
      <c r="O18" s="2">
        <v>0.24</v>
      </c>
      <c r="P18" s="2">
        <v>-0.01</v>
      </c>
      <c r="Q18" s="2">
        <v>2.93</v>
      </c>
      <c r="R18" s="2">
        <v>2.68</v>
      </c>
      <c r="S18" s="2">
        <v>61</v>
      </c>
      <c r="T18" s="2">
        <v>216</v>
      </c>
      <c r="U18" s="5">
        <v>28.24</v>
      </c>
      <c r="V18" s="2">
        <v>39</v>
      </c>
      <c r="W18" s="2">
        <v>225</v>
      </c>
      <c r="X18" s="5">
        <v>82.67</v>
      </c>
      <c r="Y18" s="2">
        <v>7</v>
      </c>
      <c r="Z18" s="2">
        <v>4</v>
      </c>
      <c r="AA18" s="5">
        <v>8.4</v>
      </c>
      <c r="AB18" s="2">
        <v>7.5</v>
      </c>
      <c r="AC18" s="2">
        <v>2303</v>
      </c>
      <c r="AD18" s="5">
        <v>10.4</v>
      </c>
      <c r="AE18" s="2">
        <v>2160</v>
      </c>
      <c r="AF18" s="4">
        <v>0.89800000000000002</v>
      </c>
      <c r="AG18" s="1">
        <v>9</v>
      </c>
    </row>
    <row r="19" spans="1:33" ht="15.6" x14ac:dyDescent="0.35">
      <c r="A19" s="2">
        <v>18</v>
      </c>
      <c r="B19" s="3" t="s">
        <v>49</v>
      </c>
      <c r="C19" s="2">
        <v>28.6</v>
      </c>
      <c r="D19" s="2">
        <v>82</v>
      </c>
      <c r="E19" s="2">
        <v>38</v>
      </c>
      <c r="F19" s="2">
        <v>30</v>
      </c>
      <c r="G19" s="2">
        <v>14</v>
      </c>
      <c r="H19" s="2">
        <v>90</v>
      </c>
      <c r="I19" s="4">
        <v>0.54900000000000004</v>
      </c>
      <c r="J19" s="2">
        <v>233</v>
      </c>
      <c r="K19" s="2">
        <v>251</v>
      </c>
      <c r="L19" s="4">
        <f>(Table1[[#This Row],[GF]]^2)/(Table1[[#This Row],[GF]]^2+Table1[[#This Row],[GA]]^2)</f>
        <v>0.46286128399693066</v>
      </c>
      <c r="M19" s="2">
        <v>3</v>
      </c>
      <c r="N19" s="2">
        <v>2</v>
      </c>
      <c r="O19" s="2">
        <v>-0.22</v>
      </c>
      <c r="P19" s="2">
        <v>-0.01</v>
      </c>
      <c r="Q19" s="2">
        <v>2.84</v>
      </c>
      <c r="R19" s="2">
        <v>3.06</v>
      </c>
      <c r="S19" s="2">
        <v>50</v>
      </c>
      <c r="T19" s="2">
        <v>222</v>
      </c>
      <c r="U19" s="5">
        <v>22.52</v>
      </c>
      <c r="V19" s="2">
        <v>39</v>
      </c>
      <c r="W19" s="2">
        <v>224</v>
      </c>
      <c r="X19" s="5">
        <v>82.59</v>
      </c>
      <c r="Y19" s="2">
        <v>4</v>
      </c>
      <c r="Z19" s="2">
        <v>7</v>
      </c>
      <c r="AA19" s="5">
        <v>9.3000000000000007</v>
      </c>
      <c r="AB19" s="2">
        <v>9.1</v>
      </c>
      <c r="AC19" s="2">
        <v>2094</v>
      </c>
      <c r="AD19" s="5">
        <v>11.1</v>
      </c>
      <c r="AE19" s="2">
        <v>2198</v>
      </c>
      <c r="AF19" s="4">
        <v>0.88600000000000001</v>
      </c>
      <c r="AG19" s="1">
        <v>5</v>
      </c>
    </row>
    <row r="20" spans="1:33" ht="15.6" x14ac:dyDescent="0.35">
      <c r="A20" s="2">
        <v>19</v>
      </c>
      <c r="B20" s="3" t="s">
        <v>50</v>
      </c>
      <c r="C20" s="2">
        <v>27.6</v>
      </c>
      <c r="D20" s="2">
        <v>82</v>
      </c>
      <c r="E20" s="2">
        <v>40</v>
      </c>
      <c r="F20" s="2">
        <v>33</v>
      </c>
      <c r="G20" s="2">
        <v>9</v>
      </c>
      <c r="H20" s="2">
        <v>89</v>
      </c>
      <c r="I20" s="4">
        <v>0.54300000000000004</v>
      </c>
      <c r="J20" s="2">
        <v>267</v>
      </c>
      <c r="K20" s="2">
        <v>267</v>
      </c>
      <c r="L20" s="4">
        <f>(Table1[[#This Row],[GF]]^2)/(Table1[[#This Row],[GF]]^2+Table1[[#This Row],[GA]]^2)</f>
        <v>0.5</v>
      </c>
      <c r="M20" s="2">
        <v>6</v>
      </c>
      <c r="N20" s="2">
        <v>1</v>
      </c>
      <c r="O20" s="2">
        <v>0.06</v>
      </c>
      <c r="P20" s="2">
        <v>0</v>
      </c>
      <c r="Q20" s="2">
        <v>3.26</v>
      </c>
      <c r="R20" s="2">
        <v>3.26</v>
      </c>
      <c r="S20" s="2">
        <v>36</v>
      </c>
      <c r="T20" s="2">
        <v>185</v>
      </c>
      <c r="U20" s="5">
        <v>19.46</v>
      </c>
      <c r="V20" s="2">
        <v>50</v>
      </c>
      <c r="W20" s="2">
        <v>217</v>
      </c>
      <c r="X20" s="5">
        <v>76.959999999999994</v>
      </c>
      <c r="Y20" s="2">
        <v>9</v>
      </c>
      <c r="Z20" s="2">
        <v>7</v>
      </c>
      <c r="AA20" s="5">
        <v>8.1999999999999993</v>
      </c>
      <c r="AB20" s="2">
        <v>7.5</v>
      </c>
      <c r="AC20" s="2">
        <v>2382</v>
      </c>
      <c r="AD20" s="5">
        <v>11.2</v>
      </c>
      <c r="AE20" s="2">
        <v>2453</v>
      </c>
      <c r="AF20" s="4">
        <v>0.89100000000000001</v>
      </c>
      <c r="AG20" s="1">
        <v>4</v>
      </c>
    </row>
    <row r="21" spans="1:33" ht="15.6" x14ac:dyDescent="0.35">
      <c r="A21" s="2">
        <v>20</v>
      </c>
      <c r="B21" s="3" t="s">
        <v>51</v>
      </c>
      <c r="C21" s="2">
        <v>27.7</v>
      </c>
      <c r="D21" s="2">
        <v>82</v>
      </c>
      <c r="E21" s="2">
        <v>38</v>
      </c>
      <c r="F21" s="2">
        <v>31</v>
      </c>
      <c r="G21" s="2">
        <v>13</v>
      </c>
      <c r="H21" s="2">
        <v>89</v>
      </c>
      <c r="I21" s="4">
        <v>0.54300000000000004</v>
      </c>
      <c r="J21" s="2">
        <v>240</v>
      </c>
      <c r="K21" s="2">
        <v>247</v>
      </c>
      <c r="L21" s="4">
        <f>(Table1[[#This Row],[GF]]^2)/(Table1[[#This Row],[GF]]^2+Table1[[#This Row],[GA]]^2)</f>
        <v>0.48562925241760746</v>
      </c>
      <c r="M21" s="2">
        <v>1</v>
      </c>
      <c r="N21" s="2">
        <v>4</v>
      </c>
      <c r="O21" s="2">
        <v>-0.11</v>
      </c>
      <c r="P21" s="2">
        <v>0.01</v>
      </c>
      <c r="Q21" s="2">
        <v>2.93</v>
      </c>
      <c r="R21" s="2">
        <v>3.01</v>
      </c>
      <c r="S21" s="2">
        <v>57</v>
      </c>
      <c r="T21" s="2">
        <v>236</v>
      </c>
      <c r="U21" s="5">
        <v>24.15</v>
      </c>
      <c r="V21" s="2">
        <v>52</v>
      </c>
      <c r="W21" s="2">
        <v>251</v>
      </c>
      <c r="X21" s="5">
        <v>79.28</v>
      </c>
      <c r="Y21" s="2">
        <v>4</v>
      </c>
      <c r="Z21" s="2">
        <v>8</v>
      </c>
      <c r="AA21" s="5">
        <v>9.6</v>
      </c>
      <c r="AB21" s="2">
        <v>9.5</v>
      </c>
      <c r="AC21" s="2">
        <v>2339</v>
      </c>
      <c r="AD21" s="5">
        <v>10.3</v>
      </c>
      <c r="AE21" s="2">
        <v>2271</v>
      </c>
      <c r="AF21" s="4">
        <v>0.89100000000000001</v>
      </c>
      <c r="AG21" s="1">
        <v>2</v>
      </c>
    </row>
    <row r="22" spans="1:33" ht="15.6" x14ac:dyDescent="0.35">
      <c r="A22" s="2">
        <v>21</v>
      </c>
      <c r="B22" s="3" t="s">
        <v>52</v>
      </c>
      <c r="C22" s="2">
        <v>29.5</v>
      </c>
      <c r="D22" s="2">
        <v>82</v>
      </c>
      <c r="E22" s="2">
        <v>39</v>
      </c>
      <c r="F22" s="2">
        <v>35</v>
      </c>
      <c r="G22" s="2">
        <v>8</v>
      </c>
      <c r="H22" s="2">
        <v>86</v>
      </c>
      <c r="I22" s="4">
        <v>0.52400000000000002</v>
      </c>
      <c r="J22" s="2">
        <v>235</v>
      </c>
      <c r="K22" s="2">
        <v>259</v>
      </c>
      <c r="L22" s="4">
        <f>(Table1[[#This Row],[GF]]^2)/(Table1[[#This Row],[GF]]^2+Table1[[#This Row],[GA]]^2)</f>
        <v>0.45153140483704807</v>
      </c>
      <c r="M22" s="2">
        <v>3</v>
      </c>
      <c r="N22" s="2">
        <v>0</v>
      </c>
      <c r="O22" s="2">
        <v>-0.23</v>
      </c>
      <c r="P22" s="2">
        <v>0.02</v>
      </c>
      <c r="Q22" s="2">
        <v>2.87</v>
      </c>
      <c r="R22" s="2">
        <v>3.16</v>
      </c>
      <c r="S22" s="2">
        <v>64</v>
      </c>
      <c r="T22" s="2">
        <v>237</v>
      </c>
      <c r="U22" s="5">
        <v>27</v>
      </c>
      <c r="V22" s="2">
        <v>55</v>
      </c>
      <c r="W22" s="2">
        <v>184</v>
      </c>
      <c r="X22" s="5">
        <v>70.11</v>
      </c>
      <c r="Y22" s="2">
        <v>2</v>
      </c>
      <c r="Z22" s="2">
        <v>7</v>
      </c>
      <c r="AA22" s="5">
        <v>6.8</v>
      </c>
      <c r="AB22" s="2">
        <v>8.1999999999999993</v>
      </c>
      <c r="AC22" s="2">
        <v>2249</v>
      </c>
      <c r="AD22" s="5">
        <v>10.4</v>
      </c>
      <c r="AE22" s="2">
        <v>2335</v>
      </c>
      <c r="AF22" s="4">
        <v>0.88900000000000001</v>
      </c>
      <c r="AG22" s="1">
        <v>4</v>
      </c>
    </row>
    <row r="23" spans="1:33" ht="15.6" x14ac:dyDescent="0.35">
      <c r="A23" s="2">
        <v>22</v>
      </c>
      <c r="B23" s="3" t="s">
        <v>53</v>
      </c>
      <c r="C23" s="2">
        <v>28.9</v>
      </c>
      <c r="D23" s="2">
        <v>82</v>
      </c>
      <c r="E23" s="2">
        <v>39</v>
      </c>
      <c r="F23" s="2">
        <v>36</v>
      </c>
      <c r="G23" s="2">
        <v>7</v>
      </c>
      <c r="H23" s="2">
        <v>85</v>
      </c>
      <c r="I23" s="4">
        <v>0.51800000000000002</v>
      </c>
      <c r="J23" s="2">
        <v>255</v>
      </c>
      <c r="K23" s="2">
        <v>255</v>
      </c>
      <c r="L23" s="4">
        <f>(Table1[[#This Row],[GF]]^2)/(Table1[[#This Row],[GF]]^2+Table1[[#This Row],[GA]]^2)</f>
        <v>0.5</v>
      </c>
      <c r="M23" s="2">
        <v>1</v>
      </c>
      <c r="N23" s="2">
        <v>0</v>
      </c>
      <c r="O23" s="2">
        <v>0.01</v>
      </c>
      <c r="P23" s="2">
        <v>0</v>
      </c>
      <c r="Q23" s="2">
        <v>3.11</v>
      </c>
      <c r="R23" s="2">
        <v>3.11</v>
      </c>
      <c r="S23" s="2">
        <v>37</v>
      </c>
      <c r="T23" s="2">
        <v>210</v>
      </c>
      <c r="U23" s="5">
        <v>17.62</v>
      </c>
      <c r="V23" s="2">
        <v>47</v>
      </c>
      <c r="W23" s="2">
        <v>239</v>
      </c>
      <c r="X23" s="5">
        <v>80.33</v>
      </c>
      <c r="Y23" s="2">
        <v>18</v>
      </c>
      <c r="Z23" s="2">
        <v>7</v>
      </c>
      <c r="AA23" s="5">
        <v>8.4</v>
      </c>
      <c r="AB23" s="2">
        <v>7.6</v>
      </c>
      <c r="AC23" s="2">
        <v>2344</v>
      </c>
      <c r="AD23" s="5">
        <v>10.9</v>
      </c>
      <c r="AE23" s="2">
        <v>2451</v>
      </c>
      <c r="AF23" s="4">
        <v>0.89600000000000002</v>
      </c>
      <c r="AG23" s="1">
        <v>9</v>
      </c>
    </row>
    <row r="24" spans="1:33" ht="15.6" x14ac:dyDescent="0.35">
      <c r="A24" s="2">
        <v>23</v>
      </c>
      <c r="B24" s="3" t="s">
        <v>54</v>
      </c>
      <c r="C24" s="2">
        <v>29.7</v>
      </c>
      <c r="D24" s="2">
        <v>82</v>
      </c>
      <c r="E24" s="2">
        <v>35</v>
      </c>
      <c r="F24" s="2">
        <v>35</v>
      </c>
      <c r="G24" s="2">
        <v>12</v>
      </c>
      <c r="H24" s="2">
        <v>82</v>
      </c>
      <c r="I24" s="4">
        <v>0.5</v>
      </c>
      <c r="J24" s="2">
        <v>222</v>
      </c>
      <c r="K24" s="2">
        <v>257</v>
      </c>
      <c r="L24" s="4">
        <f>(Table1[[#This Row],[GF]]^2)/(Table1[[#This Row],[GF]]^2+Table1[[#This Row],[GA]]^2)</f>
        <v>0.42731915410160143</v>
      </c>
      <c r="M24" s="2">
        <v>2</v>
      </c>
      <c r="N24" s="2">
        <v>3</v>
      </c>
      <c r="O24" s="2">
        <v>-0.43</v>
      </c>
      <c r="P24" s="2">
        <v>0.01</v>
      </c>
      <c r="Q24" s="2">
        <v>2.71</v>
      </c>
      <c r="R24" s="2">
        <v>3.13</v>
      </c>
      <c r="S24" s="2">
        <v>26</v>
      </c>
      <c r="T24" s="2">
        <v>207</v>
      </c>
      <c r="U24" s="5">
        <v>12.56</v>
      </c>
      <c r="V24" s="2">
        <v>50</v>
      </c>
      <c r="W24" s="2">
        <v>180</v>
      </c>
      <c r="X24" s="5">
        <v>72.22</v>
      </c>
      <c r="Y24" s="2">
        <v>9</v>
      </c>
      <c r="Z24" s="2">
        <v>8</v>
      </c>
      <c r="AA24" s="5">
        <v>5.7</v>
      </c>
      <c r="AB24" s="2">
        <v>6.5</v>
      </c>
      <c r="AC24" s="2">
        <v>2418</v>
      </c>
      <c r="AD24" s="5">
        <v>9.1999999999999993</v>
      </c>
      <c r="AE24" s="2">
        <v>2356</v>
      </c>
      <c r="AF24" s="4">
        <v>0.89100000000000001</v>
      </c>
      <c r="AG24" s="1">
        <v>4</v>
      </c>
    </row>
    <row r="25" spans="1:33" ht="15.6" x14ac:dyDescent="0.35">
      <c r="A25" s="2">
        <v>24</v>
      </c>
      <c r="B25" s="3" t="s">
        <v>55</v>
      </c>
      <c r="C25" s="2">
        <v>30.9</v>
      </c>
      <c r="D25" s="2">
        <v>82</v>
      </c>
      <c r="E25" s="2">
        <v>34</v>
      </c>
      <c r="F25" s="2">
        <v>36</v>
      </c>
      <c r="G25" s="2">
        <v>12</v>
      </c>
      <c r="H25" s="2">
        <v>80</v>
      </c>
      <c r="I25" s="4">
        <v>0.48799999999999999</v>
      </c>
      <c r="J25" s="2">
        <v>242</v>
      </c>
      <c r="K25" s="2">
        <v>287</v>
      </c>
      <c r="L25" s="4">
        <f>(Table1[[#This Row],[GF]]^2)/(Table1[[#This Row],[GF]]^2+Table1[[#This Row],[GA]]^2)</f>
        <v>0.41554497527193773</v>
      </c>
      <c r="M25" s="2">
        <v>1</v>
      </c>
      <c r="N25" s="2">
        <v>6</v>
      </c>
      <c r="O25" s="2">
        <v>-0.59</v>
      </c>
      <c r="P25" s="2">
        <v>0.02</v>
      </c>
      <c r="Q25" s="2">
        <v>2.95</v>
      </c>
      <c r="R25" s="2">
        <v>3.5</v>
      </c>
      <c r="S25" s="2">
        <v>57</v>
      </c>
      <c r="T25" s="2">
        <v>221</v>
      </c>
      <c r="U25" s="5">
        <v>25.79</v>
      </c>
      <c r="V25" s="2">
        <v>48</v>
      </c>
      <c r="W25" s="2">
        <v>216</v>
      </c>
      <c r="X25" s="5">
        <v>77.78</v>
      </c>
      <c r="Y25" s="2">
        <v>5</v>
      </c>
      <c r="Z25" s="2">
        <v>5</v>
      </c>
      <c r="AA25" s="5">
        <v>6.8</v>
      </c>
      <c r="AB25" s="2">
        <v>7.3</v>
      </c>
      <c r="AC25" s="2">
        <v>2323</v>
      </c>
      <c r="AD25" s="5">
        <v>10.4</v>
      </c>
      <c r="AE25" s="2">
        <v>2470</v>
      </c>
      <c r="AF25" s="4">
        <v>0.88400000000000001</v>
      </c>
      <c r="AG25" s="1">
        <v>3</v>
      </c>
    </row>
    <row r="26" spans="1:33" ht="15.6" x14ac:dyDescent="0.35">
      <c r="A26" s="2">
        <v>25</v>
      </c>
      <c r="B26" s="3" t="s">
        <v>56</v>
      </c>
      <c r="C26" s="2">
        <v>27.4</v>
      </c>
      <c r="D26" s="2">
        <v>82</v>
      </c>
      <c r="E26" s="2">
        <v>35</v>
      </c>
      <c r="F26" s="2">
        <v>37</v>
      </c>
      <c r="G26" s="2">
        <v>10</v>
      </c>
      <c r="H26" s="2">
        <v>80</v>
      </c>
      <c r="I26" s="4">
        <v>0.48799999999999999</v>
      </c>
      <c r="J26" s="2">
        <v>217</v>
      </c>
      <c r="K26" s="2">
        <v>261</v>
      </c>
      <c r="L26" s="4">
        <f>(Table1[[#This Row],[GF]]^2)/(Table1[[#This Row],[GF]]^2+Table1[[#This Row],[GA]]^2)</f>
        <v>0.40872320111101468</v>
      </c>
      <c r="M26" s="2">
        <v>4</v>
      </c>
      <c r="N26" s="2">
        <v>2</v>
      </c>
      <c r="O26" s="2">
        <v>-0.49</v>
      </c>
      <c r="P26" s="2">
        <v>0.03</v>
      </c>
      <c r="Q26" s="2">
        <v>2.65</v>
      </c>
      <c r="R26" s="2">
        <v>3.18</v>
      </c>
      <c r="S26" s="2">
        <v>26</v>
      </c>
      <c r="T26" s="2">
        <v>221</v>
      </c>
      <c r="U26" s="5">
        <v>11.76</v>
      </c>
      <c r="V26" s="2">
        <v>64</v>
      </c>
      <c r="W26" s="2">
        <v>248</v>
      </c>
      <c r="X26" s="5">
        <v>74.19</v>
      </c>
      <c r="Y26" s="2">
        <v>3</v>
      </c>
      <c r="Z26" s="2">
        <v>6</v>
      </c>
      <c r="AA26" s="5">
        <v>8.9</v>
      </c>
      <c r="AB26" s="2">
        <v>7.8</v>
      </c>
      <c r="AC26" s="2">
        <v>2270</v>
      </c>
      <c r="AD26" s="5">
        <v>9.6</v>
      </c>
      <c r="AE26" s="2">
        <v>2648</v>
      </c>
      <c r="AF26" s="4">
        <v>0.90100000000000002</v>
      </c>
      <c r="AG26" s="1">
        <v>1</v>
      </c>
    </row>
    <row r="27" spans="1:33" ht="15.6" x14ac:dyDescent="0.35">
      <c r="A27" s="2">
        <v>26</v>
      </c>
      <c r="B27" s="3" t="s">
        <v>57</v>
      </c>
      <c r="C27" s="2">
        <v>26.1</v>
      </c>
      <c r="D27" s="2">
        <v>82</v>
      </c>
      <c r="E27" s="2">
        <v>36</v>
      </c>
      <c r="F27" s="2">
        <v>39</v>
      </c>
      <c r="G27" s="2">
        <v>7</v>
      </c>
      <c r="H27" s="2">
        <v>79</v>
      </c>
      <c r="I27" s="4">
        <v>0.48199999999999998</v>
      </c>
      <c r="J27" s="2">
        <v>265</v>
      </c>
      <c r="K27" s="2">
        <v>287</v>
      </c>
      <c r="L27" s="4">
        <f>(Table1[[#This Row],[GF]]^2)/(Table1[[#This Row],[GF]]^2+Table1[[#This Row],[GA]]^2)</f>
        <v>0.46020813400264754</v>
      </c>
      <c r="M27" s="2">
        <v>4</v>
      </c>
      <c r="N27" s="2">
        <v>2</v>
      </c>
      <c r="O27" s="2">
        <v>-0.24</v>
      </c>
      <c r="P27" s="2">
        <v>0.01</v>
      </c>
      <c r="Q27" s="2">
        <v>3.23</v>
      </c>
      <c r="R27" s="2">
        <v>3.5</v>
      </c>
      <c r="S27" s="2">
        <v>43</v>
      </c>
      <c r="T27" s="2">
        <v>229</v>
      </c>
      <c r="U27" s="5">
        <v>18.78</v>
      </c>
      <c r="V27" s="2">
        <v>57</v>
      </c>
      <c r="W27" s="2">
        <v>241</v>
      </c>
      <c r="X27" s="5">
        <v>76.349999999999994</v>
      </c>
      <c r="Y27" s="2">
        <v>10</v>
      </c>
      <c r="Z27" s="2">
        <v>8</v>
      </c>
      <c r="AA27" s="5">
        <v>10.199999999999999</v>
      </c>
      <c r="AB27" s="2">
        <v>9.6</v>
      </c>
      <c r="AC27" s="2">
        <v>2278</v>
      </c>
      <c r="AD27" s="5">
        <v>11.6</v>
      </c>
      <c r="AE27" s="2">
        <v>2368</v>
      </c>
      <c r="AF27" s="4">
        <v>0.879</v>
      </c>
      <c r="AG27" s="1">
        <v>3</v>
      </c>
    </row>
    <row r="28" spans="1:33" ht="15.6" x14ac:dyDescent="0.35">
      <c r="A28" s="2">
        <v>27</v>
      </c>
      <c r="B28" s="3" t="s">
        <v>58</v>
      </c>
      <c r="C28" s="2">
        <v>28.1</v>
      </c>
      <c r="D28" s="2">
        <v>82</v>
      </c>
      <c r="E28" s="2">
        <v>33</v>
      </c>
      <c r="F28" s="2">
        <v>39</v>
      </c>
      <c r="G28" s="2">
        <v>10</v>
      </c>
      <c r="H28" s="2">
        <v>76</v>
      </c>
      <c r="I28" s="4">
        <v>0.46300000000000002</v>
      </c>
      <c r="J28" s="2">
        <v>222</v>
      </c>
      <c r="K28" s="2">
        <v>271</v>
      </c>
      <c r="L28" s="4">
        <f>(Table1[[#This Row],[GF]]^2)/(Table1[[#This Row],[GF]]^2+Table1[[#This Row],[GA]]^2)</f>
        <v>0.40158077001425951</v>
      </c>
      <c r="M28" s="2">
        <v>0</v>
      </c>
      <c r="N28" s="2">
        <v>1</v>
      </c>
      <c r="O28" s="2">
        <v>-0.56999999999999995</v>
      </c>
      <c r="P28" s="2">
        <v>0.04</v>
      </c>
      <c r="Q28" s="2">
        <v>2.71</v>
      </c>
      <c r="R28" s="2">
        <v>3.3</v>
      </c>
      <c r="S28" s="2">
        <v>35</v>
      </c>
      <c r="T28" s="2">
        <v>230</v>
      </c>
      <c r="U28" s="5">
        <v>15.22</v>
      </c>
      <c r="V28" s="2">
        <v>56</v>
      </c>
      <c r="W28" s="2">
        <v>236</v>
      </c>
      <c r="X28" s="5">
        <v>76.27</v>
      </c>
      <c r="Y28" s="2">
        <v>6</v>
      </c>
      <c r="Z28" s="2">
        <v>13</v>
      </c>
      <c r="AA28" s="5">
        <v>9.8000000000000007</v>
      </c>
      <c r="AB28" s="2">
        <v>9.4</v>
      </c>
      <c r="AC28" s="2">
        <v>2173</v>
      </c>
      <c r="AD28" s="5">
        <v>10.199999999999999</v>
      </c>
      <c r="AE28" s="2">
        <v>2346</v>
      </c>
      <c r="AF28" s="4">
        <v>0.88400000000000001</v>
      </c>
      <c r="AG28" s="1">
        <v>7</v>
      </c>
    </row>
    <row r="29" spans="1:33" ht="15.6" x14ac:dyDescent="0.35">
      <c r="A29" s="2">
        <v>28</v>
      </c>
      <c r="B29" s="3" t="s">
        <v>59</v>
      </c>
      <c r="C29" s="2">
        <v>28.9</v>
      </c>
      <c r="D29" s="2">
        <v>82</v>
      </c>
      <c r="E29" s="2">
        <v>35</v>
      </c>
      <c r="F29" s="2">
        <v>41</v>
      </c>
      <c r="G29" s="2">
        <v>6</v>
      </c>
      <c r="H29" s="2">
        <v>76</v>
      </c>
      <c r="I29" s="4">
        <v>0.46300000000000002</v>
      </c>
      <c r="J29" s="2">
        <v>245</v>
      </c>
      <c r="K29" s="2">
        <v>262</v>
      </c>
      <c r="L29" s="4">
        <f>(Table1[[#This Row],[GF]]^2)/(Table1[[#This Row],[GF]]^2+Table1[[#This Row],[GA]]^2)</f>
        <v>0.46650708406842362</v>
      </c>
      <c r="M29" s="2">
        <v>2</v>
      </c>
      <c r="N29" s="2">
        <v>3</v>
      </c>
      <c r="O29" s="2">
        <v>-0.23</v>
      </c>
      <c r="P29" s="2">
        <v>-0.01</v>
      </c>
      <c r="Q29" s="2">
        <v>2.99</v>
      </c>
      <c r="R29" s="2">
        <v>3.2</v>
      </c>
      <c r="S29" s="2">
        <v>43</v>
      </c>
      <c r="T29" s="2">
        <v>227</v>
      </c>
      <c r="U29" s="5">
        <v>18.940000000000001</v>
      </c>
      <c r="V29" s="2">
        <v>44</v>
      </c>
      <c r="W29" s="2">
        <v>193</v>
      </c>
      <c r="X29" s="5">
        <v>77.2</v>
      </c>
      <c r="Y29" s="2">
        <v>3</v>
      </c>
      <c r="Z29" s="2">
        <v>4</v>
      </c>
      <c r="AA29" s="5">
        <v>7.1</v>
      </c>
      <c r="AB29" s="2">
        <v>7.9</v>
      </c>
      <c r="AC29" s="2">
        <v>2243</v>
      </c>
      <c r="AD29" s="5">
        <v>10.9</v>
      </c>
      <c r="AE29" s="2">
        <v>2342</v>
      </c>
      <c r="AF29" s="4">
        <v>0.88800000000000001</v>
      </c>
      <c r="AG29" s="1">
        <v>2</v>
      </c>
    </row>
    <row r="30" spans="1:33" ht="15.6" x14ac:dyDescent="0.35">
      <c r="A30" s="2">
        <v>29</v>
      </c>
      <c r="B30" s="3" t="s">
        <v>60</v>
      </c>
      <c r="C30" s="2">
        <v>26.8</v>
      </c>
      <c r="D30" s="2">
        <v>82</v>
      </c>
      <c r="E30" s="2">
        <v>33</v>
      </c>
      <c r="F30" s="2">
        <v>39</v>
      </c>
      <c r="G30" s="2">
        <v>10</v>
      </c>
      <c r="H30" s="2">
        <v>76</v>
      </c>
      <c r="I30" s="4">
        <v>0.46300000000000002</v>
      </c>
      <c r="J30" s="2">
        <v>232</v>
      </c>
      <c r="K30" s="2">
        <v>283</v>
      </c>
      <c r="L30" s="4">
        <f>(Table1[[#This Row],[GF]]^2)/(Table1[[#This Row],[GF]]^2+Table1[[#This Row],[GA]]^2)</f>
        <v>0.40193259803006431</v>
      </c>
      <c r="M30" s="2">
        <v>6</v>
      </c>
      <c r="N30" s="2">
        <v>3</v>
      </c>
      <c r="O30" s="2">
        <v>-0.56000000000000005</v>
      </c>
      <c r="P30" s="2">
        <v>0.02</v>
      </c>
      <c r="Q30" s="2">
        <v>2.83</v>
      </c>
      <c r="R30" s="2">
        <v>3.45</v>
      </c>
      <c r="S30" s="2">
        <v>32</v>
      </c>
      <c r="T30" s="2">
        <v>214</v>
      </c>
      <c r="U30" s="5">
        <v>14.95</v>
      </c>
      <c r="V30" s="2">
        <v>45</v>
      </c>
      <c r="W30" s="2">
        <v>201</v>
      </c>
      <c r="X30" s="5">
        <v>77.61</v>
      </c>
      <c r="Y30" s="2">
        <v>4</v>
      </c>
      <c r="Z30" s="2">
        <v>10</v>
      </c>
      <c r="AA30" s="5">
        <v>7.3</v>
      </c>
      <c r="AB30" s="2">
        <v>7.4</v>
      </c>
      <c r="AC30" s="2">
        <v>2212</v>
      </c>
      <c r="AD30" s="5">
        <v>10.5</v>
      </c>
      <c r="AE30" s="2">
        <v>2210</v>
      </c>
      <c r="AF30" s="4">
        <v>0.872</v>
      </c>
      <c r="AG30" s="1">
        <v>3</v>
      </c>
    </row>
    <row r="31" spans="1:33" ht="15.6" x14ac:dyDescent="0.35">
      <c r="A31" s="2">
        <v>30</v>
      </c>
      <c r="B31" s="3" t="s">
        <v>61</v>
      </c>
      <c r="C31" s="2">
        <v>29.9</v>
      </c>
      <c r="D31" s="2">
        <v>82</v>
      </c>
      <c r="E31" s="2">
        <v>30</v>
      </c>
      <c r="F31" s="2">
        <v>44</v>
      </c>
      <c r="G31" s="2">
        <v>8</v>
      </c>
      <c r="H31" s="2">
        <v>68</v>
      </c>
      <c r="I31" s="4">
        <v>0.41499999999999998</v>
      </c>
      <c r="J31" s="2">
        <v>212</v>
      </c>
      <c r="K31" s="2">
        <v>274</v>
      </c>
      <c r="L31" s="4">
        <f>(Table1[[#This Row],[GF]]^2)/(Table1[[#This Row],[GF]]^2+Table1[[#This Row],[GA]]^2)</f>
        <v>0.37447092151308115</v>
      </c>
      <c r="M31" s="2">
        <v>2</v>
      </c>
      <c r="N31" s="2">
        <v>0</v>
      </c>
      <c r="O31" s="2">
        <v>-0.69</v>
      </c>
      <c r="P31" s="2">
        <v>0.04</v>
      </c>
      <c r="Q31" s="2">
        <v>2.59</v>
      </c>
      <c r="R31" s="2">
        <v>3.34</v>
      </c>
      <c r="S31" s="2">
        <v>50</v>
      </c>
      <c r="T31" s="2">
        <v>229</v>
      </c>
      <c r="U31" s="5">
        <v>21.83</v>
      </c>
      <c r="V31" s="2">
        <v>45</v>
      </c>
      <c r="W31" s="2">
        <v>243</v>
      </c>
      <c r="X31" s="5">
        <v>81.48</v>
      </c>
      <c r="Y31" s="2">
        <v>1</v>
      </c>
      <c r="Z31" s="2">
        <v>5</v>
      </c>
      <c r="AA31" s="5">
        <v>9.8000000000000007</v>
      </c>
      <c r="AB31" s="2">
        <v>9.1999999999999993</v>
      </c>
      <c r="AC31" s="2">
        <v>2403</v>
      </c>
      <c r="AD31" s="5">
        <v>8.8000000000000007</v>
      </c>
      <c r="AE31" s="2">
        <v>2342</v>
      </c>
      <c r="AF31" s="4">
        <v>0.88300000000000001</v>
      </c>
      <c r="AG31" s="1">
        <v>4</v>
      </c>
    </row>
    <row r="32" spans="1:33" ht="15.6" x14ac:dyDescent="0.35">
      <c r="A32" s="2">
        <v>31</v>
      </c>
      <c r="B32" s="3" t="s">
        <v>62</v>
      </c>
      <c r="C32" s="2">
        <v>28.1</v>
      </c>
      <c r="D32" s="2">
        <v>82</v>
      </c>
      <c r="E32" s="2">
        <v>25</v>
      </c>
      <c r="F32" s="2">
        <v>46</v>
      </c>
      <c r="G32" s="2">
        <v>11</v>
      </c>
      <c r="H32" s="2">
        <v>61</v>
      </c>
      <c r="I32" s="4">
        <v>0.372</v>
      </c>
      <c r="J32" s="2">
        <v>224</v>
      </c>
      <c r="K32" s="2">
        <v>292</v>
      </c>
      <c r="L32" s="4">
        <f>(Table1[[#This Row],[GF]]^2)/(Table1[[#This Row],[GF]]^2+Table1[[#This Row],[GA]]^2)</f>
        <v>0.37046662728883639</v>
      </c>
      <c r="M32" s="2">
        <v>2</v>
      </c>
      <c r="N32" s="2">
        <v>4</v>
      </c>
      <c r="O32" s="2">
        <v>-0.83</v>
      </c>
      <c r="P32" s="2">
        <v>0.03</v>
      </c>
      <c r="Q32" s="2">
        <v>2.73</v>
      </c>
      <c r="R32" s="2">
        <v>3.56</v>
      </c>
      <c r="S32" s="2">
        <v>47</v>
      </c>
      <c r="T32" s="2">
        <v>189</v>
      </c>
      <c r="U32" s="5">
        <v>24.87</v>
      </c>
      <c r="V32" s="2">
        <v>47</v>
      </c>
      <c r="W32" s="2">
        <v>227</v>
      </c>
      <c r="X32" s="5">
        <v>79.3</v>
      </c>
      <c r="Y32" s="2">
        <v>6</v>
      </c>
      <c r="Z32" s="2">
        <v>7</v>
      </c>
      <c r="AA32" s="5">
        <v>8.6</v>
      </c>
      <c r="AB32" s="2">
        <v>7.2</v>
      </c>
      <c r="AC32" s="2">
        <v>2005</v>
      </c>
      <c r="AD32" s="5">
        <v>11.2</v>
      </c>
      <c r="AE32" s="2">
        <v>2550</v>
      </c>
      <c r="AF32" s="4">
        <v>0.88500000000000001</v>
      </c>
      <c r="AG32" s="1">
        <v>0</v>
      </c>
    </row>
    <row r="33" spans="1:33" ht="15.6" x14ac:dyDescent="0.35">
      <c r="A33" s="2">
        <v>32</v>
      </c>
      <c r="B33" s="3" t="s">
        <v>63</v>
      </c>
      <c r="C33" s="2">
        <v>27.2</v>
      </c>
      <c r="D33" s="2">
        <v>82</v>
      </c>
      <c r="E33" s="2">
        <v>20</v>
      </c>
      <c r="F33" s="2">
        <v>50</v>
      </c>
      <c r="G33" s="2">
        <v>12</v>
      </c>
      <c r="H33" s="2">
        <v>52</v>
      </c>
      <c r="I33" s="4">
        <v>0.317</v>
      </c>
      <c r="J33" s="2">
        <v>208</v>
      </c>
      <c r="K33" s="2">
        <v>310</v>
      </c>
      <c r="L33" s="4">
        <f>(Table1[[#This Row],[GF]]^2)/(Table1[[#This Row],[GF]]^2+Table1[[#This Row],[GA]]^2)</f>
        <v>0.31043885077925432</v>
      </c>
      <c r="M33" s="2">
        <v>2</v>
      </c>
      <c r="N33" s="2">
        <v>5</v>
      </c>
      <c r="O33" s="2">
        <v>-1.24</v>
      </c>
      <c r="P33" s="2">
        <v>0.04</v>
      </c>
      <c r="Q33" s="2">
        <v>2.54</v>
      </c>
      <c r="R33" s="2">
        <v>3.78</v>
      </c>
      <c r="S33" s="2">
        <v>42</v>
      </c>
      <c r="T33" s="2">
        <v>226</v>
      </c>
      <c r="U33" s="5">
        <v>18.579999999999998</v>
      </c>
      <c r="V33" s="2">
        <v>66</v>
      </c>
      <c r="W33" s="2">
        <v>256</v>
      </c>
      <c r="X33" s="5">
        <v>74.22</v>
      </c>
      <c r="Y33" s="2">
        <v>5</v>
      </c>
      <c r="Z33" s="2">
        <v>8</v>
      </c>
      <c r="AA33" s="5">
        <v>8.6999999999999993</v>
      </c>
      <c r="AB33" s="2">
        <v>8.6</v>
      </c>
      <c r="AC33" s="2">
        <v>2203</v>
      </c>
      <c r="AD33" s="5">
        <v>9.4</v>
      </c>
      <c r="AE33" s="2">
        <v>2606</v>
      </c>
      <c r="AF33" s="4">
        <v>0.88100000000000001</v>
      </c>
      <c r="AG33" s="1">
        <v>1</v>
      </c>
    </row>
  </sheetData>
  <conditionalFormatting sqref="AF2:AF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2024_2025_NHL_Data</vt:lpstr>
      <vt:lpstr>performance_report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2026-04-02T20:08:09Z</dcterms:created>
  <dcterms:modified xsi:type="dcterms:W3CDTF">2026-04-02T20:28:33Z</dcterms:modified>
</cp:coreProperties>
</file>